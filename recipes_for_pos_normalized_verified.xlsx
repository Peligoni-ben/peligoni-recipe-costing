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Recipe_Components" sheetId="3" state="visible" r:id="rId3"/>
    <sheet xmlns:r="http://schemas.openxmlformats.org/officeDocument/2006/relationships" name="Recipes" sheetId="4" state="visible" r:id="rId4"/>
    <sheet xmlns:r="http://schemas.openxmlformats.org/officeDocument/2006/relationships" name="Menus" sheetId="5" state="visible" r:id="rId5"/>
    <sheet xmlns:r="http://schemas.openxmlformats.org/officeDocument/2006/relationships" name="Menu_Lines" sheetId="6" state="visible" r:id="rId6"/>
    <sheet xmlns:r="http://schemas.openxmlformats.org/officeDocument/2006/relationships" name="Venue_Summary" sheetId="7" state="visible" r:id="rId7"/>
  </sheets>
  <definedNames/>
</workbook>
</file>

<file path=xl/styles.xml><?xml version="1.0" encoding="utf-8"?>
<styleSheet xmlns="http://schemas.openxmlformats.org/spreadsheetml/2006/main">
  <numFmts count="5">
    <numFmt numFmtId="164" formatCode="#,##0.00;[Red](#,##0.00);-"/>
    <numFmt numFmtId="165" formatCode="€#,##0.00;[Red](€#,##0.00);-"/>
    <numFmt numFmtId="166" formatCode="0.0%"/>
    <numFmt numFmtId="167" formatCode="#,##0;[Red](#,##0);-"/>
    <numFmt numFmtId="168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8000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2FF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5" fontId="4" fillId="4" borderId="0" pivotButton="0" quotePrefix="0" xfId="0"/>
    <xf numFmtId="165" fontId="3" fillId="5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4" fillId="4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6" borderId="0" pivotButton="0" quotePrefix="0" xfId="0"/>
    <xf numFmtId="168" fontId="0" fillId="0" borderId="0" pivotButton="0" quotePrefix="0" xfId="0"/>
  </cellXfs>
  <cellStyles count="1">
    <cellStyle name="Normal" xfId="0"/>
  </cellStyles>
  <dxfs count="2">
    <dxf>
      <fill>
        <patternFill>
          <bgColor rgb="00FCE4D6"/>
        </patternFill>
      </fill>
    </dxf>
    <dxf>
      <fill>
        <patternFill>
          <bgColor rgb="00FDE9E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Source sheet transposed from: https://docs.google.com/spreadsheets/d/1MDDgsjl6ZxmfJe2bMK8kLi3vLb7xyTPY88UAPB9R6-c/edit?usp=sharing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Source sheet transposed from: https://docs.google.com/spreadsheets/d/1MDDgsjl6ZxmfJe2bMK8kLi3vLb7xyTPY88UAPB9R6-c/edit?usp=sharing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Source sheet transposed from: https://docs.google.com/spreadsheets/d/1MDDgsjl6ZxmfJe2bMK8kLi3vLb7xyTPY88UAPB9R6-c/edit?usp=sharing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Source sheet transposed from: https://docs.google.com/spreadsheets/d/1MDDgsjl6ZxmfJe2bMK8kLi3vLb7xyTPY88UAPB9R6-c/edit?usp=sharing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A1" authorId="0" shapeId="0">
      <text>
        <t>Source sheet transposed from: https://docs.google.com/spreadsheets/d/1MDDgsjl6ZxmfJe2bMK8kLi3vLb7xyTPY88UAPB9R6-c/edit?usp=sharing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A1" authorId="0" shapeId="0">
      <text>
        <t>Source sheet transposed from: https://docs.google.com/spreadsheets/d/1MDDgsjl6ZxmfJe2bMK8kLi3vLb7xyTPY88UAPB9R6-c/edit?usp=sharing</t>
      </text>
    </comment>
  </commentList>
</comments>
</file>

<file path=xl/tables/table1.xml><?xml version="1.0" encoding="utf-8"?>
<table xmlns="http://schemas.openxmlformats.org/spreadsheetml/2006/main" id="1" name="CostMismatches" displayName="CostMismatches" ref="A39:G45" headerRowCount="1">
  <autoFilter ref="A39:G45"/>
  <tableColumns count="7">
    <tableColumn id="1" name="recipe_id"/>
    <tableColumn id="2" name="source_row"/>
    <tableColumn id="3" name="restaurant"/>
    <tableColumn id="4" name="name"/>
    <tableColumn id="5" name="source_cost"/>
    <tableColumn id="6" name="component_cost_sum"/>
    <tableColumn id="7" name="del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Recipes for POS - normalized workbook</t>
        </is>
      </c>
      <c r="B1" s="1" t="n"/>
    </row>
    <row r="2">
      <c r="A2" t="inlineStr">
        <is>
          <t>Purpose</t>
        </is>
      </c>
      <c r="B2" t="inlineStr">
        <is>
          <t>Transpose the original wide recipe-costing sheet into app-friendly tabs.</t>
        </is>
      </c>
    </row>
    <row r="3">
      <c r="A3" t="inlineStr">
        <is>
          <t>Source workbook</t>
        </is>
      </c>
      <c r="B3" t="inlineStr">
        <is>
          <t>https://docs.google.com/spreadsheets/d/1MDDgsjl6ZxmfJe2bMK8kLi3vLb7xyTPY88UAPB9R6-c/edit?usp=sharing</t>
        </is>
      </c>
    </row>
    <row r="4">
      <c r="A4" t="inlineStr">
        <is>
          <t>Source shape</t>
        </is>
      </c>
      <c r="B4" t="inlineStr">
        <is>
          <t>One recipe row followed by repeated component blocks across Component 1-11.</t>
        </is>
      </c>
    </row>
    <row r="5">
      <c r="A5" t="inlineStr">
        <is>
          <t>Created from</t>
        </is>
      </c>
      <c r="B5" t="inlineStr">
        <is>
          <t>138 recipes and 514 component rows transposed from the visible source data.</t>
        </is>
      </c>
    </row>
    <row r="6">
      <c r="A6" t="inlineStr">
        <is>
          <t>Tabs</t>
        </is>
      </c>
      <c r="B6" t="inlineStr">
        <is>
          <t>Recipes, Recipe_Components, Menus, Menu_Lines, Venue_Summary</t>
        </is>
      </c>
    </row>
    <row r="7">
      <c r="A7" t="inlineStr">
        <is>
          <t>Notes</t>
        </is>
      </c>
      <c r="B7" t="inlineStr">
        <is>
          <t>calc_component_cost, variance_calc and gp_calc are formula-driven. Demo menus are included for app wiring and can be replaced.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36" customWidth="1" min="4" max="4"/>
    <col width="14" customWidth="1" min="5" max="5"/>
    <col width="18" customWidth="1" min="6" max="6"/>
    <col width="12" customWidth="1" min="7" max="7"/>
  </cols>
  <sheetData>
    <row r="1">
      <c r="A1" s="12" t="inlineStr">
        <is>
          <t>Recipes for POS normalization QA</t>
        </is>
      </c>
    </row>
    <row r="3">
      <c r="A3" s="13" t="inlineStr">
        <is>
          <t>Source workbook row range reviewed</t>
        </is>
      </c>
      <c r="B3" t="inlineStr">
        <is>
          <t>1 to 157</t>
        </is>
      </c>
    </row>
    <row r="4">
      <c r="A4" s="13" t="inlineStr">
        <is>
          <t>Normalized recipe rows</t>
        </is>
      </c>
      <c r="B4" t="n">
        <v>138</v>
      </c>
    </row>
    <row r="5">
      <c r="A5" s="13" t="inlineStr">
        <is>
          <t>Normalized component rows</t>
        </is>
      </c>
      <c r="B5" t="n">
        <v>514</v>
      </c>
    </row>
    <row r="6">
      <c r="A6" s="13" t="inlineStr">
        <is>
          <t>Orphan components</t>
        </is>
      </c>
      <c r="B6" t="n">
        <v>0</v>
      </c>
    </row>
    <row r="7">
      <c r="A7" s="13" t="inlineStr">
        <is>
          <t>Duplicate source_row values</t>
        </is>
      </c>
      <c r="B7" t="n">
        <v>0</v>
      </c>
    </row>
    <row r="8">
      <c r="A8" s="13" t="inlineStr">
        <is>
          <t>Blank separator rows skipped</t>
        </is>
      </c>
      <c r="B8" t="n">
        <v>19</v>
      </c>
    </row>
    <row r="9">
      <c r="A9" s="13" t="inlineStr">
        <is>
          <t>Recipes with missing or zero sale price</t>
        </is>
      </c>
      <c r="B9" t="n">
        <v>44</v>
      </c>
    </row>
    <row r="10">
      <c r="A10" s="13" t="inlineStr">
        <is>
          <t>Source vs component-cost mismatches</t>
        </is>
      </c>
      <c r="B10" t="n">
        <v>6</v>
      </c>
    </row>
    <row r="12">
      <c r="A12" s="14" t="inlineStr">
        <is>
          <t>Interpretation</t>
        </is>
      </c>
    </row>
    <row r="13">
      <c r="A13" t="inlineStr">
        <is>
          <t>• The 19 skipped source rows are separator / blank rows between menu sections, not missing recipes.</t>
        </is>
      </c>
    </row>
    <row r="14">
      <c r="A14" t="inlineStr">
        <is>
          <t>• The normalized workbook carries 138 recipe rows and 514 component rows.</t>
        </is>
      </c>
    </row>
    <row r="15">
      <c r="A15" t="inlineStr">
        <is>
          <t>• Six recipes show a mismatch between the source row-level COST and the sum of imported components. These were preserved and flagged below rather than overwritten silently.</t>
        </is>
      </c>
    </row>
    <row r="16">
      <c r="A16" t="inlineStr">
        <is>
          <t>• Rows with blank or zero selling price were preserved from source so pricing gaps can be fixed later without losing recipes.</t>
        </is>
      </c>
    </row>
    <row r="18">
      <c r="A18" s="14" t="inlineStr">
        <is>
          <t>separator_source_rows_intentionally_skipped</t>
        </is>
      </c>
    </row>
    <row r="19">
      <c r="A19" t="n">
        <v>7</v>
      </c>
    </row>
    <row r="20">
      <c r="A20" t="n">
        <v>19</v>
      </c>
    </row>
    <row r="21">
      <c r="A21" t="n">
        <v>31</v>
      </c>
    </row>
    <row r="22">
      <c r="A22" t="n">
        <v>32</v>
      </c>
    </row>
    <row r="23">
      <c r="A23" t="n">
        <v>33</v>
      </c>
    </row>
    <row r="24">
      <c r="A24" t="n">
        <v>38</v>
      </c>
    </row>
    <row r="25">
      <c r="A25" t="n">
        <v>44</v>
      </c>
    </row>
    <row r="26">
      <c r="A26" t="n">
        <v>51</v>
      </c>
    </row>
    <row r="27">
      <c r="A27" t="n">
        <v>69</v>
      </c>
    </row>
    <row r="28">
      <c r="A28" t="n">
        <v>76</v>
      </c>
    </row>
    <row r="29">
      <c r="A29" t="n">
        <v>83</v>
      </c>
    </row>
    <row r="30">
      <c r="A30" t="n">
        <v>88</v>
      </c>
    </row>
    <row r="31">
      <c r="A31" t="n">
        <v>96</v>
      </c>
    </row>
    <row r="32">
      <c r="A32" t="n">
        <v>104</v>
      </c>
    </row>
    <row r="33">
      <c r="A33" t="n">
        <v>109</v>
      </c>
    </row>
    <row r="34">
      <c r="A34" t="n">
        <v>125</v>
      </c>
    </row>
    <row r="35">
      <c r="A35" t="n">
        <v>132</v>
      </c>
    </row>
    <row r="36">
      <c r="A36" t="n">
        <v>138</v>
      </c>
    </row>
    <row r="37">
      <c r="A37" t="n">
        <v>146</v>
      </c>
    </row>
    <row r="39">
      <c r="A39" s="15" t="inlineStr">
        <is>
          <t>recipe_id</t>
        </is>
      </c>
      <c r="B39" s="15" t="inlineStr">
        <is>
          <t>source_row</t>
        </is>
      </c>
      <c r="C39" s="15" t="inlineStr">
        <is>
          <t>restaurant</t>
        </is>
      </c>
      <c r="D39" s="15" t="inlineStr">
        <is>
          <t>name</t>
        </is>
      </c>
      <c r="E39" s="15" t="inlineStr">
        <is>
          <t>source_cost</t>
        </is>
      </c>
      <c r="F39" s="15" t="inlineStr">
        <is>
          <t>component_cost_sum</t>
        </is>
      </c>
      <c r="G39" s="15" t="inlineStr">
        <is>
          <t>delta</t>
        </is>
      </c>
    </row>
    <row r="40">
      <c r="A40" t="n">
        <v>20</v>
      </c>
      <c r="B40" t="inlineStr">
        <is>
          <t>22</t>
        </is>
      </c>
      <c r="C40" t="inlineStr">
        <is>
          <t>Tasi</t>
        </is>
      </c>
      <c r="D40" t="inlineStr">
        <is>
          <t>Fried Halloumi with Warmed Honey &amp; Thyme</t>
        </is>
      </c>
      <c r="E40" s="16" t="n">
        <v>0</v>
      </c>
      <c r="F40" s="16" t="n">
        <v>0.6375</v>
      </c>
      <c r="G40" s="16" t="n">
        <v>0.6375</v>
      </c>
    </row>
    <row r="41">
      <c r="A41" t="n">
        <v>43</v>
      </c>
      <c r="B41" t="inlineStr">
        <is>
          <t>50</t>
        </is>
      </c>
      <c r="C41" t="inlineStr">
        <is>
          <t>Tasi</t>
        </is>
      </c>
      <c r="D41" t="inlineStr">
        <is>
          <t>Broccoli</t>
        </is>
      </c>
      <c r="E41" s="16" t="n">
        <v>0</v>
      </c>
      <c r="F41" s="16" t="n">
        <v>1.068</v>
      </c>
      <c r="G41" s="16" t="n">
        <v>1.068</v>
      </c>
    </row>
    <row r="42">
      <c r="A42" t="n">
        <v>124</v>
      </c>
      <c r="B42" t="inlineStr">
        <is>
          <t>142</t>
        </is>
      </c>
      <c r="C42" t="inlineStr">
        <is>
          <t>Mikro Nisi</t>
        </is>
      </c>
      <c r="D42" t="inlineStr">
        <is>
          <t>Greek salad with crumbled manouri cheese</t>
        </is>
      </c>
      <c r="E42" s="16" t="n">
        <v>2.448</v>
      </c>
      <c r="F42" s="16" t="n">
        <v>2.4529</v>
      </c>
      <c r="G42" s="16" t="n">
        <v>0.0049</v>
      </c>
    </row>
    <row r="43">
      <c r="A43" t="n">
        <v>133</v>
      </c>
      <c r="B43" t="inlineStr">
        <is>
          <t>152</t>
        </is>
      </c>
      <c r="C43" t="inlineStr">
        <is>
          <t>Mikro Nisi</t>
        </is>
      </c>
      <c r="D43" t="inlineStr">
        <is>
          <t>Chicken Stifado</t>
        </is>
      </c>
      <c r="E43" s="16" t="n">
        <v>2.1639</v>
      </c>
      <c r="F43" s="16" t="n">
        <v>2.201000000000001</v>
      </c>
      <c r="G43" s="16" t="n">
        <v>0.0371</v>
      </c>
    </row>
    <row r="44">
      <c r="A44" t="n">
        <v>135</v>
      </c>
      <c r="B44" t="inlineStr">
        <is>
          <t>154</t>
        </is>
      </c>
      <c r="C44" t="inlineStr">
        <is>
          <t>Mikro Nisi</t>
        </is>
      </c>
      <c r="D44" t="inlineStr">
        <is>
          <t>Baked Seabass, wild rice and spinach</t>
        </is>
      </c>
      <c r="E44" s="16" t="n">
        <v>6.61012</v>
      </c>
      <c r="F44" s="16" t="n">
        <v>6.64012</v>
      </c>
      <c r="G44" s="16" t="n">
        <v>0.03</v>
      </c>
    </row>
    <row r="45">
      <c r="A45" t="n">
        <v>138</v>
      </c>
      <c r="B45" t="inlineStr">
        <is>
          <t>157</t>
        </is>
      </c>
      <c r="C45" t="inlineStr">
        <is>
          <t>Mikro Nisi</t>
        </is>
      </c>
      <c r="D45" t="inlineStr">
        <is>
          <t>Pork Gyros Special</t>
        </is>
      </c>
      <c r="E45" s="16" t="n">
        <v>2.036167143</v>
      </c>
      <c r="F45" s="16" t="n">
        <v>2.0316671429</v>
      </c>
      <c r="G45" s="16" t="n">
        <v>-0.0045000001</v>
      </c>
    </row>
  </sheetData>
  <mergeCells count="6">
    <mergeCell ref="A16:F16"/>
    <mergeCell ref="A13:F13"/>
    <mergeCell ref="A14:F14"/>
    <mergeCell ref="A1:F1"/>
    <mergeCell ref="A12:F12"/>
    <mergeCell ref="A15:F1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26" customWidth="1" min="5" max="5"/>
    <col width="16" customWidth="1" min="6" max="6"/>
  </cols>
  <sheetData>
    <row r="1">
      <c r="A1" s="2" t="inlineStr">
        <is>
          <t>recipe_id</t>
        </is>
      </c>
      <c r="B1" s="2" t="inlineStr">
        <is>
          <t>component_sort</t>
        </is>
      </c>
      <c r="C1" s="2" t="inlineStr">
        <is>
          <t>ingredient_name</t>
        </is>
      </c>
      <c r="D1" s="2" t="inlineStr">
        <is>
          <t>ingredient_item_code</t>
        </is>
      </c>
      <c r="E1" s="2" t="inlineStr">
        <is>
          <t>quantity_by_weight_grams</t>
        </is>
      </c>
      <c r="F1" s="2" t="inlineStr">
        <is>
          <t>component_cost</t>
        </is>
      </c>
    </row>
    <row r="2">
      <c r="A2" s="3" t="n">
        <v>1</v>
      </c>
      <c r="B2" t="n">
        <v>1</v>
      </c>
      <c r="C2" s="3" t="inlineStr">
        <is>
          <t>Beef fillet</t>
        </is>
      </c>
      <c r="D2" s="3" t="inlineStr">
        <is>
          <t>101.BEEF4</t>
        </is>
      </c>
      <c r="E2" s="4" t="n">
        <v>80</v>
      </c>
      <c r="F2" s="5" t="n">
        <v>2.384</v>
      </c>
    </row>
    <row r="3">
      <c r="A3" s="3" t="n">
        <v>1</v>
      </c>
      <c r="B3" t="n">
        <v>2</v>
      </c>
      <c r="C3" s="3" t="inlineStr">
        <is>
          <t>Rocket</t>
        </is>
      </c>
      <c r="D3" s="3" t="inlineStr">
        <is>
          <t>106.FRVEG156</t>
        </is>
      </c>
      <c r="E3" s="4" t="n">
        <v>50</v>
      </c>
      <c r="F3" s="5" t="n">
        <v>0.375</v>
      </c>
    </row>
    <row r="4">
      <c r="A4" s="3" t="n">
        <v>1</v>
      </c>
      <c r="B4" t="n">
        <v>3</v>
      </c>
      <c r="C4" s="3" t="inlineStr">
        <is>
          <t>Parmesan</t>
        </is>
      </c>
      <c r="D4" s="3" t="inlineStr">
        <is>
          <t>106.CHE43</t>
        </is>
      </c>
      <c r="E4" s="4" t="n">
        <v>20</v>
      </c>
      <c r="F4" s="5" t="n">
        <v>0.276</v>
      </c>
    </row>
    <row r="5">
      <c r="A5" s="3" t="n">
        <v>1</v>
      </c>
      <c r="B5" t="n">
        <v>4</v>
      </c>
      <c r="C5" s="3" t="inlineStr">
        <is>
          <t>olive oil</t>
        </is>
      </c>
      <c r="D5" s="3" t="inlineStr">
        <is>
          <t>109.OIL1</t>
        </is>
      </c>
      <c r="E5" s="4" t="n">
        <v>10</v>
      </c>
      <c r="F5" s="5" t="n">
        <v>0.06</v>
      </c>
    </row>
    <row r="6">
      <c r="A6" s="3" t="n">
        <v>1</v>
      </c>
      <c r="B6" t="n">
        <v>5</v>
      </c>
      <c r="C6" s="3" t="inlineStr">
        <is>
          <t>Onion</t>
        </is>
      </c>
      <c r="D6" s="3" t="inlineStr"/>
      <c r="E6" s="4" t="n">
        <v>10</v>
      </c>
      <c r="F6" s="5" t="n"/>
    </row>
    <row r="7">
      <c r="A7" s="3" t="n">
        <v>2</v>
      </c>
      <c r="B7" t="n">
        <v>1</v>
      </c>
      <c r="C7" s="3" t="inlineStr">
        <is>
          <t>Courgette</t>
        </is>
      </c>
      <c r="D7" s="3" t="inlineStr">
        <is>
          <t>106.FRVEG19</t>
        </is>
      </c>
      <c r="E7" s="4" t="n">
        <v>170</v>
      </c>
      <c r="F7" s="5" t="n">
        <v>0.425</v>
      </c>
    </row>
    <row r="8">
      <c r="A8" s="3" t="n">
        <v>2</v>
      </c>
      <c r="B8" t="n">
        <v>2</v>
      </c>
      <c r="C8" s="3" t="inlineStr">
        <is>
          <t>flour</t>
        </is>
      </c>
      <c r="D8" s="3" t="inlineStr">
        <is>
          <t>107.FLO1</t>
        </is>
      </c>
      <c r="E8" s="4" t="n">
        <v>40</v>
      </c>
      <c r="F8" s="5" t="n">
        <v>0.0344</v>
      </c>
    </row>
    <row r="9">
      <c r="A9" s="3" t="n">
        <v>2</v>
      </c>
      <c r="B9" t="n">
        <v>3</v>
      </c>
      <c r="C9" s="3" t="inlineStr">
        <is>
          <t>garlic powder</t>
        </is>
      </c>
      <c r="D9" s="3" t="inlineStr">
        <is>
          <t>107.SPIC15</t>
        </is>
      </c>
      <c r="E9" s="4" t="n">
        <v>3</v>
      </c>
      <c r="F9" s="5" t="n">
        <v>0.03654</v>
      </c>
    </row>
    <row r="10">
      <c r="A10" s="3" t="n">
        <v>2</v>
      </c>
      <c r="B10" t="n">
        <v>4</v>
      </c>
      <c r="C10" s="3" t="inlineStr">
        <is>
          <t>garlic</t>
        </is>
      </c>
      <c r="D10" s="3" t="inlineStr">
        <is>
          <t>106.FRVEG10</t>
        </is>
      </c>
      <c r="E10" s="4" t="n">
        <v>5</v>
      </c>
      <c r="F10" s="5" t="n">
        <v>0.037</v>
      </c>
    </row>
    <row r="11">
      <c r="A11" s="3" t="n">
        <v>2</v>
      </c>
      <c r="B11" t="n">
        <v>5</v>
      </c>
      <c r="C11" s="3" t="inlineStr">
        <is>
          <t>Fresh parsley</t>
        </is>
      </c>
      <c r="D11" s="3" t="inlineStr">
        <is>
          <t>106.FRVEG42</t>
        </is>
      </c>
      <c r="E11" s="4" t="n">
        <v>5</v>
      </c>
      <c r="F11" s="5" t="n">
        <v>0.0045</v>
      </c>
    </row>
    <row r="12">
      <c r="A12" s="3" t="n">
        <v>2</v>
      </c>
      <c r="B12" t="n">
        <v>6</v>
      </c>
      <c r="C12" s="3" t="inlineStr">
        <is>
          <t>Baking Powder</t>
        </is>
      </c>
      <c r="D12" s="3" t="inlineStr">
        <is>
          <t>107.FLO3</t>
        </is>
      </c>
      <c r="E12" s="4" t="n">
        <v>2</v>
      </c>
      <c r="F12" s="5" t="n">
        <v>0.0098</v>
      </c>
    </row>
    <row r="13">
      <c r="A13" s="3" t="n">
        <v>2</v>
      </c>
      <c r="B13" t="n">
        <v>7</v>
      </c>
      <c r="C13" s="3" t="inlineStr">
        <is>
          <t>Spicy Tomato Sauce Batch</t>
        </is>
      </c>
      <c r="D13" s="3" t="inlineStr">
        <is>
          <t>BCH004</t>
        </is>
      </c>
      <c r="E13" s="4" t="n">
        <v>50</v>
      </c>
      <c r="F13" s="5" t="n">
        <v>0.1351</v>
      </c>
    </row>
    <row r="14">
      <c r="A14" s="3" t="n">
        <v>3</v>
      </c>
      <c r="B14" t="n">
        <v>1</v>
      </c>
      <c r="C14" s="3" t="inlineStr">
        <is>
          <t>Sea bass fillet</t>
        </is>
      </c>
      <c r="D14" s="3" t="inlineStr">
        <is>
          <t>BCH011</t>
        </is>
      </c>
      <c r="E14" s="4" t="n">
        <v>60</v>
      </c>
      <c r="F14" s="5" t="n">
        <v>1.95</v>
      </c>
    </row>
    <row r="15">
      <c r="A15" s="3" t="n">
        <v>3</v>
      </c>
      <c r="B15" t="n">
        <v>2</v>
      </c>
      <c r="C15" s="3" t="inlineStr">
        <is>
          <t>lime juice</t>
        </is>
      </c>
      <c r="D15" s="3" t="inlineStr">
        <is>
          <t>106.FRVEG37</t>
        </is>
      </c>
      <c r="E15" s="4" t="n">
        <v>30</v>
      </c>
      <c r="F15" s="5" t="n">
        <v>0.45</v>
      </c>
    </row>
    <row r="16">
      <c r="A16" s="3" t="n">
        <v>3</v>
      </c>
      <c r="B16" t="n">
        <v>3</v>
      </c>
      <c r="C16" s="3" t="inlineStr">
        <is>
          <t>Red Onion</t>
        </is>
      </c>
      <c r="D16" s="3" t="inlineStr">
        <is>
          <t>106.FRVEG18</t>
        </is>
      </c>
      <c r="E16" s="4" t="n">
        <v>75</v>
      </c>
      <c r="F16" s="5" t="n">
        <v>0.09375</v>
      </c>
    </row>
    <row r="17">
      <c r="A17" s="3" t="n">
        <v>3</v>
      </c>
      <c r="B17" t="n">
        <v>4</v>
      </c>
      <c r="C17" s="3" t="inlineStr">
        <is>
          <t>green chilli</t>
        </is>
      </c>
      <c r="D17" s="3" t="inlineStr">
        <is>
          <t>106.FRVEG103</t>
        </is>
      </c>
      <c r="E17" s="4" t="n">
        <v>10</v>
      </c>
      <c r="F17" s="5" t="n">
        <v>0.125</v>
      </c>
    </row>
    <row r="18">
      <c r="A18" s="3" t="n">
        <v>3</v>
      </c>
      <c r="B18" t="n">
        <v>5</v>
      </c>
      <c r="C18" s="3" t="inlineStr">
        <is>
          <t>coriander</t>
        </is>
      </c>
      <c r="D18" s="3" t="inlineStr">
        <is>
          <t>106.FRVEG11</t>
        </is>
      </c>
      <c r="E18" s="4" t="n">
        <v>50</v>
      </c>
      <c r="F18" s="5" t="n">
        <v>0.1</v>
      </c>
    </row>
    <row r="19">
      <c r="A19" s="3" t="n">
        <v>3</v>
      </c>
      <c r="B19" t="n">
        <v>6</v>
      </c>
      <c r="C19" s="3" t="inlineStr">
        <is>
          <t>avocado</t>
        </is>
      </c>
      <c r="D19" s="3" t="inlineStr">
        <is>
          <t>106.FRVEG67</t>
        </is>
      </c>
      <c r="E19" s="4" t="n">
        <v>50</v>
      </c>
      <c r="F19" s="5" t="n">
        <v>0.26</v>
      </c>
    </row>
    <row r="20">
      <c r="A20" s="3" t="n">
        <v>3</v>
      </c>
      <c r="B20" t="n">
        <v>7</v>
      </c>
      <c r="C20" s="3" t="inlineStr">
        <is>
          <t>olive oil</t>
        </is>
      </c>
      <c r="D20" s="3" t="inlineStr">
        <is>
          <t>109.OIL1</t>
        </is>
      </c>
      <c r="E20" s="4" t="n">
        <v>15</v>
      </c>
      <c r="F20" s="5" t="n">
        <v>0.09</v>
      </c>
    </row>
    <row r="21">
      <c r="A21" s="3" t="n">
        <v>3</v>
      </c>
      <c r="B21" t="n">
        <v>8</v>
      </c>
      <c r="C21" s="3" t="inlineStr">
        <is>
          <t>Jalapenos</t>
        </is>
      </c>
      <c r="D21" s="3" t="inlineStr">
        <is>
          <t>106.FRVEG109</t>
        </is>
      </c>
      <c r="E21" s="4" t="n">
        <v>10</v>
      </c>
      <c r="F21" s="5" t="n">
        <v>0.125</v>
      </c>
    </row>
    <row r="22">
      <c r="A22" s="3" t="n">
        <v>3</v>
      </c>
      <c r="B22" t="n">
        <v>9</v>
      </c>
      <c r="C22" s="3" t="inlineStr">
        <is>
          <t>black sesame seeds</t>
        </is>
      </c>
      <c r="D22" s="3" t="inlineStr">
        <is>
          <t>107.NUT8</t>
        </is>
      </c>
      <c r="E22" s="4" t="n">
        <v>5</v>
      </c>
      <c r="F22" s="5" t="n">
        <v>0.0505</v>
      </c>
    </row>
    <row r="23">
      <c r="A23" s="3" t="n">
        <v>4</v>
      </c>
      <c r="B23" t="n">
        <v>1</v>
      </c>
      <c r="C23" s="3" t="inlineStr">
        <is>
          <t>Gazpacho Batch</t>
        </is>
      </c>
      <c r="D23" s="3" t="inlineStr">
        <is>
          <t>BCH005</t>
        </is>
      </c>
      <c r="E23" s="4" t="n">
        <v>150</v>
      </c>
      <c r="F23" s="5" t="n">
        <v>0.4059230769</v>
      </c>
    </row>
    <row r="24">
      <c r="A24" s="3" t="n">
        <v>4</v>
      </c>
      <c r="B24" t="n">
        <v>2</v>
      </c>
      <c r="C24" s="3" t="inlineStr">
        <is>
          <t>Sourdough bread</t>
        </is>
      </c>
      <c r="D24" s="3" t="inlineStr">
        <is>
          <t>107.BRE21</t>
        </is>
      </c>
      <c r="E24" s="4" t="n">
        <v>100</v>
      </c>
      <c r="F24" s="5" t="n">
        <v>0.429</v>
      </c>
    </row>
    <row r="25">
      <c r="A25" s="3" t="n">
        <v>5</v>
      </c>
      <c r="B25" t="n">
        <v>1</v>
      </c>
      <c r="C25" s="3" t="inlineStr">
        <is>
          <t>Fritto misto batch</t>
        </is>
      </c>
      <c r="D25" s="3" t="inlineStr">
        <is>
          <t>BCH006</t>
        </is>
      </c>
      <c r="E25" s="4" t="n">
        <v>250</v>
      </c>
      <c r="F25" s="5" t="n">
        <v>3.858194444</v>
      </c>
    </row>
    <row r="26">
      <c r="A26" s="3" t="n">
        <v>6</v>
      </c>
      <c r="B26" t="n">
        <v>1</v>
      </c>
      <c r="C26" s="3" t="inlineStr">
        <is>
          <t>Fava bean batch</t>
        </is>
      </c>
      <c r="D26" s="3" t="inlineStr">
        <is>
          <t>BCH013</t>
        </is>
      </c>
      <c r="E26" s="4" t="n">
        <v>180</v>
      </c>
      <c r="F26" s="5" t="n">
        <v>0.5637456</v>
      </c>
    </row>
    <row r="27">
      <c r="A27" s="3" t="n">
        <v>6</v>
      </c>
      <c r="B27" t="n">
        <v>2</v>
      </c>
      <c r="C27" s="3" t="inlineStr">
        <is>
          <t>Caramalised onions</t>
        </is>
      </c>
      <c r="D27" s="3" t="inlineStr">
        <is>
          <t>BCH015</t>
        </is>
      </c>
      <c r="E27" s="4" t="n">
        <v>30</v>
      </c>
      <c r="F27" s="5" t="n">
        <v>0.05919</v>
      </c>
    </row>
    <row r="28">
      <c r="A28" s="3" t="n">
        <v>6</v>
      </c>
      <c r="B28" t="n">
        <v>3</v>
      </c>
      <c r="C28" s="3" t="inlineStr">
        <is>
          <t>dukkah batch</t>
        </is>
      </c>
      <c r="D28" s="3" t="inlineStr">
        <is>
          <t>BCH014</t>
        </is>
      </c>
      <c r="E28" s="4" t="n">
        <v>10</v>
      </c>
      <c r="F28" s="5" t="n">
        <v>0.1814152941</v>
      </c>
    </row>
    <row r="29">
      <c r="A29" s="3" t="n">
        <v>7</v>
      </c>
      <c r="B29" t="n">
        <v>1</v>
      </c>
      <c r="C29" s="3" t="inlineStr">
        <is>
          <t>Linguine</t>
        </is>
      </c>
      <c r="D29" s="3" t="inlineStr">
        <is>
          <t>ING001</t>
        </is>
      </c>
      <c r="E29" s="4" t="n">
        <v>80</v>
      </c>
      <c r="F29" s="5" t="n">
        <v>0.2344</v>
      </c>
    </row>
    <row r="30">
      <c r="A30" s="3" t="n">
        <v>7</v>
      </c>
      <c r="B30" t="n">
        <v>2</v>
      </c>
      <c r="C30" s="3" t="inlineStr">
        <is>
          <t>Spinach</t>
        </is>
      </c>
      <c r="D30" s="3" t="inlineStr">
        <is>
          <t>106.FRVEG1</t>
        </is>
      </c>
      <c r="E30" s="4" t="n">
        <v>80</v>
      </c>
      <c r="F30" s="5" t="n">
        <v>0.216</v>
      </c>
    </row>
    <row r="31">
      <c r="A31" s="3" t="n">
        <v>7</v>
      </c>
      <c r="B31" t="n">
        <v>3</v>
      </c>
      <c r="C31" s="3" t="inlineStr">
        <is>
          <t>wild greens</t>
        </is>
      </c>
      <c r="D31" s="3" t="inlineStr">
        <is>
          <t>106.FRVEG137</t>
        </is>
      </c>
      <c r="E31" s="4" t="n">
        <v>80</v>
      </c>
      <c r="F31" s="5" t="n">
        <v>0.488</v>
      </c>
    </row>
    <row r="32">
      <c r="A32" s="3" t="n">
        <v>7</v>
      </c>
      <c r="B32" t="n">
        <v>4</v>
      </c>
      <c r="C32" s="3" t="inlineStr">
        <is>
          <t>cashew nuts</t>
        </is>
      </c>
      <c r="D32" s="3" t="inlineStr">
        <is>
          <t>107.NUT9</t>
        </is>
      </c>
      <c r="E32" s="4" t="n">
        <v>50</v>
      </c>
      <c r="F32" s="5" t="n">
        <v>0.844</v>
      </c>
    </row>
    <row r="33">
      <c r="A33" s="3" t="n">
        <v>7</v>
      </c>
      <c r="B33" t="n">
        <v>5</v>
      </c>
      <c r="C33" s="3" t="inlineStr">
        <is>
          <t>parmesan</t>
        </is>
      </c>
      <c r="D33" s="3" t="inlineStr">
        <is>
          <t>106.CHE43</t>
        </is>
      </c>
      <c r="E33" s="4" t="n">
        <v>70</v>
      </c>
      <c r="F33" s="5" t="n">
        <v>0.966</v>
      </c>
    </row>
    <row r="34">
      <c r="A34" s="3" t="n">
        <v>7</v>
      </c>
      <c r="B34" t="n">
        <v>6</v>
      </c>
      <c r="C34" s="3" t="inlineStr">
        <is>
          <t>olive oil</t>
        </is>
      </c>
      <c r="D34" s="3" t="inlineStr">
        <is>
          <t>109.OIL1</t>
        </is>
      </c>
      <c r="E34" s="4" t="n">
        <v>150</v>
      </c>
      <c r="F34" s="5" t="n">
        <v>0.9</v>
      </c>
    </row>
    <row r="35">
      <c r="A35" s="3" t="n">
        <v>8</v>
      </c>
      <c r="B35" t="n">
        <v>1</v>
      </c>
      <c r="C35" s="3" t="inlineStr">
        <is>
          <t>GF linguine</t>
        </is>
      </c>
      <c r="D35" s="3" t="inlineStr">
        <is>
          <t>107.PAST13</t>
        </is>
      </c>
      <c r="E35" s="4" t="n">
        <v>80</v>
      </c>
      <c r="F35" s="5" t="n">
        <v>0.2344</v>
      </c>
    </row>
    <row r="36">
      <c r="A36" s="3" t="n">
        <v>8</v>
      </c>
      <c r="B36" t="n">
        <v>2</v>
      </c>
      <c r="C36" s="3" t="inlineStr">
        <is>
          <t>Spinach</t>
        </is>
      </c>
      <c r="D36" s="3" t="inlineStr">
        <is>
          <t>106.FRVEG1</t>
        </is>
      </c>
      <c r="E36" s="4" t="n">
        <v>80</v>
      </c>
      <c r="F36" s="5" t="n">
        <v>0.216</v>
      </c>
    </row>
    <row r="37">
      <c r="A37" s="3" t="n">
        <v>8</v>
      </c>
      <c r="B37" t="n">
        <v>3</v>
      </c>
      <c r="C37" s="3" t="inlineStr">
        <is>
          <t>wild greens</t>
        </is>
      </c>
      <c r="D37" s="3" t="inlineStr">
        <is>
          <t>106.FRVEG137</t>
        </is>
      </c>
      <c r="E37" s="4" t="n">
        <v>80</v>
      </c>
      <c r="F37" s="5" t="n">
        <v>0.488</v>
      </c>
    </row>
    <row r="38">
      <c r="A38" s="3" t="n">
        <v>8</v>
      </c>
      <c r="B38" t="n">
        <v>4</v>
      </c>
      <c r="C38" s="3" t="inlineStr">
        <is>
          <t>cashew nuts</t>
        </is>
      </c>
      <c r="D38" s="3" t="inlineStr">
        <is>
          <t>107.NUT9</t>
        </is>
      </c>
      <c r="E38" s="4" t="n">
        <v>50</v>
      </c>
      <c r="F38" s="5" t="n">
        <v>0.844</v>
      </c>
    </row>
    <row r="39">
      <c r="A39" s="3" t="n">
        <v>8</v>
      </c>
      <c r="B39" t="n">
        <v>5</v>
      </c>
      <c r="C39" s="3" t="inlineStr">
        <is>
          <t>parmesan</t>
        </is>
      </c>
      <c r="D39" s="3" t="inlineStr">
        <is>
          <t>106.CHE43</t>
        </is>
      </c>
      <c r="E39" s="4" t="n">
        <v>70</v>
      </c>
      <c r="F39" s="5" t="n">
        <v>0.966</v>
      </c>
    </row>
    <row r="40">
      <c r="A40" s="3" t="n">
        <v>8</v>
      </c>
      <c r="B40" t="n">
        <v>6</v>
      </c>
      <c r="C40" s="3" t="inlineStr">
        <is>
          <t>olive oil</t>
        </is>
      </c>
      <c r="D40" s="3" t="inlineStr">
        <is>
          <t>109.OIL1</t>
        </is>
      </c>
      <c r="E40" s="4" t="n">
        <v>150</v>
      </c>
      <c r="F40" s="5" t="n">
        <v>0.9</v>
      </c>
    </row>
    <row r="41">
      <c r="A41" s="3" t="n">
        <v>9</v>
      </c>
      <c r="B41" t="n">
        <v>1</v>
      </c>
      <c r="C41" s="3" t="inlineStr">
        <is>
          <t>Papardelle</t>
        </is>
      </c>
      <c r="D41" s="3" t="inlineStr">
        <is>
          <t>ING004</t>
        </is>
      </c>
      <c r="E41" s="4" t="n">
        <v>80</v>
      </c>
      <c r="F41" s="5" t="n">
        <v>0</v>
      </c>
    </row>
    <row r="42">
      <c r="A42" s="3" t="n">
        <v>9</v>
      </c>
      <c r="B42" t="n">
        <v>2</v>
      </c>
      <c r="C42" s="3" t="inlineStr">
        <is>
          <t>Beef Cheek Ragu Batch</t>
        </is>
      </c>
      <c r="D42" s="3" t="inlineStr">
        <is>
          <t>BCH008</t>
        </is>
      </c>
      <c r="E42" s="4" t="n">
        <v>200</v>
      </c>
      <c r="F42" s="5" t="n">
        <v>2.642203717</v>
      </c>
    </row>
    <row r="43">
      <c r="A43" s="3" t="n">
        <v>9</v>
      </c>
      <c r="B43" t="n">
        <v>3</v>
      </c>
      <c r="C43" s="3" t="inlineStr">
        <is>
          <t>Butter</t>
        </is>
      </c>
      <c r="D43" s="3" t="inlineStr">
        <is>
          <t>106.BUT10</t>
        </is>
      </c>
      <c r="E43" s="4" t="n">
        <v>20</v>
      </c>
      <c r="F43" s="5" t="n">
        <v>0.212</v>
      </c>
    </row>
    <row r="44">
      <c r="A44" s="3" t="n">
        <v>9</v>
      </c>
      <c r="B44" t="n">
        <v>4</v>
      </c>
      <c r="C44" s="3" t="inlineStr">
        <is>
          <t>parmesan</t>
        </is>
      </c>
      <c r="D44" s="3" t="inlineStr">
        <is>
          <t>106.CHE43</t>
        </is>
      </c>
      <c r="E44" s="4" t="n">
        <v>60</v>
      </c>
      <c r="F44" s="5" t="n">
        <v>0.828</v>
      </c>
    </row>
    <row r="45">
      <c r="A45" s="3" t="n">
        <v>10</v>
      </c>
      <c r="B45" t="n">
        <v>1</v>
      </c>
      <c r="C45" s="3" t="inlineStr">
        <is>
          <t>GF papardelle</t>
        </is>
      </c>
      <c r="D45" s="3" t="inlineStr">
        <is>
          <t>107.PAST22</t>
        </is>
      </c>
      <c r="E45" s="4" t="n">
        <v>80</v>
      </c>
      <c r="F45" s="5" t="n">
        <v>0.2344</v>
      </c>
    </row>
    <row r="46">
      <c r="A46" s="3" t="n">
        <v>10</v>
      </c>
      <c r="B46" t="n">
        <v>2</v>
      </c>
      <c r="C46" s="3" t="inlineStr">
        <is>
          <t>Beef Cheek Ragu Batch</t>
        </is>
      </c>
      <c r="D46" s="3" t="inlineStr">
        <is>
          <t>BCH008</t>
        </is>
      </c>
      <c r="E46" s="4" t="n">
        <v>200</v>
      </c>
      <c r="F46" s="5" t="n">
        <v>2.642203717</v>
      </c>
    </row>
    <row r="47">
      <c r="A47" s="3" t="n">
        <v>10</v>
      </c>
      <c r="B47" t="n">
        <v>3</v>
      </c>
      <c r="C47" s="3" t="inlineStr">
        <is>
          <t>Butter</t>
        </is>
      </c>
      <c r="D47" s="3" t="inlineStr">
        <is>
          <t>106.BUT10</t>
        </is>
      </c>
      <c r="E47" s="4" t="n">
        <v>20</v>
      </c>
      <c r="F47" s="5" t="n">
        <v>0.212</v>
      </c>
    </row>
    <row r="48">
      <c r="A48" s="3" t="n">
        <v>10</v>
      </c>
      <c r="B48" t="n">
        <v>4</v>
      </c>
      <c r="C48" s="3" t="inlineStr">
        <is>
          <t>parmesan</t>
        </is>
      </c>
      <c r="D48" s="3" t="inlineStr">
        <is>
          <t>106.CHE43</t>
        </is>
      </c>
      <c r="E48" s="4" t="n">
        <v>60</v>
      </c>
      <c r="F48" s="5" t="n">
        <v>0.828</v>
      </c>
    </row>
    <row r="49">
      <c r="A49" s="3" t="n">
        <v>11</v>
      </c>
      <c r="B49" t="n">
        <v>1</v>
      </c>
      <c r="C49" s="3" t="inlineStr">
        <is>
          <t>Linguine</t>
        </is>
      </c>
      <c r="D49" s="3" t="inlineStr">
        <is>
          <t>ING001</t>
        </is>
      </c>
      <c r="E49" s="4" t="n">
        <v>80</v>
      </c>
      <c r="F49" s="5" t="n">
        <v>0.2344</v>
      </c>
    </row>
    <row r="50">
      <c r="A50" s="3" t="n">
        <v>11</v>
      </c>
      <c r="B50" t="n">
        <v>2</v>
      </c>
      <c r="C50" s="3" t="inlineStr">
        <is>
          <t>clams</t>
        </is>
      </c>
      <c r="D50" s="3" t="inlineStr">
        <is>
          <t>102.SEA24</t>
        </is>
      </c>
      <c r="E50" s="4" t="n">
        <v>60</v>
      </c>
      <c r="F50" s="5" t="n">
        <v>0.51</v>
      </c>
    </row>
    <row r="51">
      <c r="A51" s="3" t="n">
        <v>11</v>
      </c>
      <c r="B51" t="n">
        <v>3</v>
      </c>
      <c r="C51" s="3" t="inlineStr">
        <is>
          <t>mussels</t>
        </is>
      </c>
      <c r="D51" s="3" t="inlineStr">
        <is>
          <t>102.SEA30</t>
        </is>
      </c>
      <c r="E51" s="4" t="n">
        <v>60</v>
      </c>
      <c r="F51" s="5" t="n">
        <v>0.51</v>
      </c>
    </row>
    <row r="52">
      <c r="A52" s="3" t="n">
        <v>11</v>
      </c>
      <c r="B52" t="n">
        <v>4</v>
      </c>
      <c r="C52" s="3" t="inlineStr">
        <is>
          <t>prawns</t>
        </is>
      </c>
      <c r="D52" s="3" t="inlineStr">
        <is>
          <t>102.SEA14</t>
        </is>
      </c>
      <c r="E52" s="4" t="n">
        <v>50</v>
      </c>
      <c r="F52" s="5" t="n">
        <v>0.8</v>
      </c>
    </row>
    <row r="53">
      <c r="A53" s="3" t="n">
        <v>11</v>
      </c>
      <c r="B53" t="n">
        <v>5</v>
      </c>
      <c r="C53" s="3" t="inlineStr">
        <is>
          <t>olive oil</t>
        </is>
      </c>
      <c r="D53" s="3" t="inlineStr">
        <is>
          <t>109.OIL1</t>
        </is>
      </c>
      <c r="E53" s="4" t="n">
        <v>12</v>
      </c>
      <c r="F53" s="5" t="n">
        <v>0.07199999999999999</v>
      </c>
    </row>
    <row r="54">
      <c r="A54" s="3" t="n">
        <v>11</v>
      </c>
      <c r="B54" t="n">
        <v>6</v>
      </c>
      <c r="C54" s="3" t="inlineStr">
        <is>
          <t>Garlic</t>
        </is>
      </c>
      <c r="D54" s="3" t="inlineStr">
        <is>
          <t>106.FRVEG10</t>
        </is>
      </c>
      <c r="E54" s="4" t="n">
        <v>5</v>
      </c>
      <c r="F54" s="5" t="n">
        <v>0.037</v>
      </c>
    </row>
    <row r="55">
      <c r="A55" s="3" t="n">
        <v>11</v>
      </c>
      <c r="B55" t="n">
        <v>7</v>
      </c>
      <c r="C55" s="3" t="inlineStr">
        <is>
          <t>white wine</t>
        </is>
      </c>
      <c r="D55" s="3" t="inlineStr">
        <is>
          <t>205.WHIW54</t>
        </is>
      </c>
      <c r="E55" s="4" t="n">
        <v>30</v>
      </c>
      <c r="F55" s="5" t="n">
        <v>0.075</v>
      </c>
    </row>
    <row r="56">
      <c r="A56" s="3" t="n">
        <v>11</v>
      </c>
      <c r="B56" t="n">
        <v>8</v>
      </c>
      <c r="C56" s="3" t="inlineStr">
        <is>
          <t>Spicy Tomato Sauce Batch</t>
        </is>
      </c>
      <c r="D56" s="3" t="inlineStr">
        <is>
          <t>BCH004</t>
        </is>
      </c>
      <c r="E56" s="4" t="n">
        <v>30</v>
      </c>
      <c r="F56" s="5" t="n">
        <v>0.08105999999999999</v>
      </c>
    </row>
    <row r="57">
      <c r="A57" s="3" t="n">
        <v>11</v>
      </c>
      <c r="B57" t="n">
        <v>9</v>
      </c>
      <c r="C57" s="3" t="inlineStr">
        <is>
          <t>Fresh Parsley</t>
        </is>
      </c>
      <c r="D57" s="3" t="inlineStr">
        <is>
          <t>106.FRVEG42</t>
        </is>
      </c>
      <c r="E57" s="4" t="n">
        <v>5</v>
      </c>
      <c r="F57" s="5" t="n">
        <v>0.0045</v>
      </c>
    </row>
    <row r="58">
      <c r="A58" s="3" t="n">
        <v>11</v>
      </c>
      <c r="B58" t="n">
        <v>10</v>
      </c>
      <c r="C58" s="3" t="inlineStr">
        <is>
          <t>lemons</t>
        </is>
      </c>
      <c r="D58" s="3" t="inlineStr">
        <is>
          <t>106.FRFRU34</t>
        </is>
      </c>
      <c r="E58" s="4" t="n">
        <v>30</v>
      </c>
      <c r="F58" s="5" t="n">
        <v>0.081</v>
      </c>
    </row>
    <row r="59">
      <c r="A59" s="3" t="n">
        <v>12</v>
      </c>
      <c r="B59" t="n">
        <v>1</v>
      </c>
      <c r="C59" s="3" t="inlineStr">
        <is>
          <t>GF linguine</t>
        </is>
      </c>
      <c r="D59" s="3" t="inlineStr">
        <is>
          <t>107.PAST13</t>
        </is>
      </c>
      <c r="E59" s="4" t="n">
        <v>80</v>
      </c>
      <c r="F59" s="5" t="n">
        <v>0.2344</v>
      </c>
    </row>
    <row r="60">
      <c r="A60" s="3" t="n">
        <v>12</v>
      </c>
      <c r="B60" t="n">
        <v>2</v>
      </c>
      <c r="C60" s="3" t="inlineStr">
        <is>
          <t>clams</t>
        </is>
      </c>
      <c r="D60" s="3" t="inlineStr">
        <is>
          <t>102.SEA24</t>
        </is>
      </c>
      <c r="E60" s="4" t="n">
        <v>60</v>
      </c>
      <c r="F60" s="5" t="n">
        <v>0.51</v>
      </c>
    </row>
    <row r="61">
      <c r="A61" s="3" t="n">
        <v>12</v>
      </c>
      <c r="B61" t="n">
        <v>3</v>
      </c>
      <c r="C61" s="3" t="inlineStr">
        <is>
          <t>mussels</t>
        </is>
      </c>
      <c r="D61" s="3" t="inlineStr">
        <is>
          <t>102.SEA30</t>
        </is>
      </c>
      <c r="E61" s="4" t="n">
        <v>60</v>
      </c>
      <c r="F61" s="5" t="n">
        <v>0.51</v>
      </c>
    </row>
    <row r="62">
      <c r="A62" s="3" t="n">
        <v>12</v>
      </c>
      <c r="B62" t="n">
        <v>4</v>
      </c>
      <c r="C62" s="3" t="inlineStr">
        <is>
          <t>prawns</t>
        </is>
      </c>
      <c r="D62" s="3" t="inlineStr">
        <is>
          <t>102.SEA14</t>
        </is>
      </c>
      <c r="E62" s="4" t="n">
        <v>50</v>
      </c>
      <c r="F62" s="5" t="n">
        <v>0.8</v>
      </c>
    </row>
    <row r="63">
      <c r="A63" s="3" t="n">
        <v>12</v>
      </c>
      <c r="B63" t="n">
        <v>5</v>
      </c>
      <c r="C63" s="3" t="inlineStr">
        <is>
          <t>olive oil</t>
        </is>
      </c>
      <c r="D63" s="3" t="inlineStr">
        <is>
          <t>109.OIL1</t>
        </is>
      </c>
      <c r="E63" s="4" t="n">
        <v>12</v>
      </c>
      <c r="F63" s="5" t="n">
        <v>0.07199999999999999</v>
      </c>
    </row>
    <row r="64">
      <c r="A64" s="3" t="n">
        <v>12</v>
      </c>
      <c r="B64" t="n">
        <v>6</v>
      </c>
      <c r="C64" s="3" t="inlineStr">
        <is>
          <t>Garlic</t>
        </is>
      </c>
      <c r="D64" s="3" t="inlineStr">
        <is>
          <t>106.FRVEG10</t>
        </is>
      </c>
      <c r="E64" s="4" t="n">
        <v>5</v>
      </c>
      <c r="F64" s="5" t="n">
        <v>0.037</v>
      </c>
    </row>
    <row r="65">
      <c r="A65" s="3" t="n">
        <v>12</v>
      </c>
      <c r="B65" t="n">
        <v>7</v>
      </c>
      <c r="C65" s="3" t="inlineStr">
        <is>
          <t>white wine</t>
        </is>
      </c>
      <c r="D65" s="3" t="inlineStr">
        <is>
          <t>205.WHIW54</t>
        </is>
      </c>
      <c r="E65" s="4" t="n">
        <v>30</v>
      </c>
      <c r="F65" s="5" t="n">
        <v>0.075</v>
      </c>
    </row>
    <row r="66">
      <c r="A66" s="3" t="n">
        <v>12</v>
      </c>
      <c r="B66" t="n">
        <v>8</v>
      </c>
      <c r="C66" s="3" t="inlineStr">
        <is>
          <t>Spicy Tomato Sauce Batch</t>
        </is>
      </c>
      <c r="D66" s="3" t="inlineStr">
        <is>
          <t>BCH004</t>
        </is>
      </c>
      <c r="E66" s="4" t="n">
        <v>30</v>
      </c>
      <c r="F66" s="5" t="n">
        <v>0.08105999999999999</v>
      </c>
    </row>
    <row r="67">
      <c r="A67" s="3" t="n">
        <v>12</v>
      </c>
      <c r="B67" t="n">
        <v>9</v>
      </c>
      <c r="C67" s="3" t="inlineStr">
        <is>
          <t>Fresh Parsley</t>
        </is>
      </c>
      <c r="D67" s="3" t="inlineStr">
        <is>
          <t>106.FRVEG42</t>
        </is>
      </c>
      <c r="E67" s="4" t="n">
        <v>5</v>
      </c>
      <c r="F67" s="5" t="n">
        <v>0.0045</v>
      </c>
    </row>
    <row r="68">
      <c r="A68" s="3" t="n">
        <v>12</v>
      </c>
      <c r="B68" t="n">
        <v>10</v>
      </c>
      <c r="C68" s="3" t="inlineStr">
        <is>
          <t>lemons</t>
        </is>
      </c>
      <c r="D68" s="3" t="inlineStr">
        <is>
          <t>106.FRFRU34</t>
        </is>
      </c>
      <c r="E68" s="4" t="n">
        <v>30</v>
      </c>
      <c r="F68" s="5" t="n">
        <v>0.081</v>
      </c>
    </row>
    <row r="69">
      <c r="A69" s="3" t="n">
        <v>13</v>
      </c>
      <c r="B69" t="n">
        <v>1</v>
      </c>
      <c r="C69" s="3" t="inlineStr">
        <is>
          <t>Chicken breast</t>
        </is>
      </c>
      <c r="D69" s="3" t="inlineStr">
        <is>
          <t>101.CHI9</t>
        </is>
      </c>
      <c r="E69" s="4" t="n">
        <v>150</v>
      </c>
      <c r="F69" s="5" t="n">
        <v>1.02</v>
      </c>
    </row>
    <row r="70">
      <c r="A70" s="3" t="n">
        <v>13</v>
      </c>
      <c r="B70" t="n">
        <v>2</v>
      </c>
      <c r="C70" s="3" t="inlineStr">
        <is>
          <t>breadcrumbs</t>
        </is>
      </c>
      <c r="D70" s="3" t="inlineStr">
        <is>
          <t>107.BRE7</t>
        </is>
      </c>
      <c r="E70" s="4" t="n">
        <v>25</v>
      </c>
      <c r="F70" s="5" t="n">
        <v>0.1915</v>
      </c>
    </row>
    <row r="71">
      <c r="A71" s="3" t="n">
        <v>13</v>
      </c>
      <c r="B71" t="n">
        <v>3</v>
      </c>
      <c r="C71" s="3" t="inlineStr">
        <is>
          <t>Flour</t>
        </is>
      </c>
      <c r="D71" s="3" t="inlineStr">
        <is>
          <t>107.FLO1</t>
        </is>
      </c>
      <c r="E71" s="4" t="n">
        <v>25</v>
      </c>
      <c r="F71" s="5" t="n">
        <v>0.0215</v>
      </c>
    </row>
    <row r="72">
      <c r="A72" s="3" t="n">
        <v>13</v>
      </c>
      <c r="B72" t="n">
        <v>4</v>
      </c>
      <c r="C72" s="3" t="inlineStr">
        <is>
          <t>eggs</t>
        </is>
      </c>
      <c r="D72" s="3" t="inlineStr">
        <is>
          <t>106.EGG2</t>
        </is>
      </c>
      <c r="E72" s="4" t="n">
        <v>65</v>
      </c>
      <c r="F72" s="5" t="n">
        <v>0.01365</v>
      </c>
    </row>
    <row r="73">
      <c r="A73" s="3" t="n">
        <v>13</v>
      </c>
      <c r="B73" t="n">
        <v>5</v>
      </c>
      <c r="C73" s="3" t="inlineStr">
        <is>
          <t>Parmesan</t>
        </is>
      </c>
      <c r="D73" s="3" t="inlineStr">
        <is>
          <t>106.CHE43</t>
        </is>
      </c>
      <c r="E73" s="4" t="n">
        <v>25</v>
      </c>
      <c r="F73" s="5" t="n">
        <v>0.345</v>
      </c>
    </row>
    <row r="74">
      <c r="A74" s="3" t="n">
        <v>13</v>
      </c>
      <c r="B74" t="n">
        <v>6</v>
      </c>
      <c r="C74" s="3" t="inlineStr">
        <is>
          <t>Garlic</t>
        </is>
      </c>
      <c r="D74" s="3" t="inlineStr">
        <is>
          <t>106.FRVEG10</t>
        </is>
      </c>
      <c r="E74" s="4" t="n">
        <v>6</v>
      </c>
      <c r="F74" s="5" t="n">
        <v>0.0444</v>
      </c>
    </row>
    <row r="75">
      <c r="A75" s="3" t="n">
        <v>13</v>
      </c>
      <c r="B75" t="n">
        <v>7</v>
      </c>
      <c r="C75" s="3" t="inlineStr">
        <is>
          <t>sage leaves</t>
        </is>
      </c>
      <c r="D75" s="3" t="inlineStr">
        <is>
          <t>106.FRVEG69</t>
        </is>
      </c>
      <c r="E75" s="4" t="n">
        <v>5</v>
      </c>
      <c r="F75" s="5" t="n">
        <v>0</v>
      </c>
    </row>
    <row r="76">
      <c r="A76" s="3" t="n">
        <v>13</v>
      </c>
      <c r="B76" t="n">
        <v>8</v>
      </c>
      <c r="C76" s="3" t="inlineStr">
        <is>
          <t>lemons</t>
        </is>
      </c>
      <c r="D76" s="3" t="inlineStr">
        <is>
          <t>106.FRFRU34</t>
        </is>
      </c>
      <c r="E76" s="4" t="n">
        <v>15</v>
      </c>
      <c r="F76" s="5" t="n">
        <v>0.0405</v>
      </c>
    </row>
    <row r="77">
      <c r="A77" s="3" t="n">
        <v>14</v>
      </c>
      <c r="B77" t="n">
        <v>1</v>
      </c>
      <c r="C77" s="3" t="inlineStr">
        <is>
          <t>Celeric schnitzel batch</t>
        </is>
      </c>
      <c r="D77" s="3" t="inlineStr">
        <is>
          <t>BCH009</t>
        </is>
      </c>
      <c r="E77" s="4" t="n">
        <v>200</v>
      </c>
      <c r="F77" s="5" t="n">
        <v>0.6143408696</v>
      </c>
    </row>
    <row r="78">
      <c r="A78" s="3" t="n">
        <v>14</v>
      </c>
      <c r="B78" t="n">
        <v>2</v>
      </c>
      <c r="C78" s="3" t="inlineStr">
        <is>
          <t>Pistachio, Lemon Caper Batch</t>
        </is>
      </c>
      <c r="D78" s="3" t="inlineStr">
        <is>
          <t>BCH010</t>
        </is>
      </c>
      <c r="E78" s="4" t="n">
        <v>80</v>
      </c>
      <c r="F78" s="5" t="n">
        <v>0.7920252121</v>
      </c>
    </row>
    <row r="79">
      <c r="A79" s="3" t="n">
        <v>14</v>
      </c>
      <c r="B79" t="n">
        <v>3</v>
      </c>
      <c r="C79" s="3" t="inlineStr">
        <is>
          <t>Parsley Oil</t>
        </is>
      </c>
      <c r="D79" s="3" t="inlineStr">
        <is>
          <t>BCH016</t>
        </is>
      </c>
      <c r="E79" s="4" t="n">
        <v>10</v>
      </c>
      <c r="F79" s="5" t="n">
        <v>0</v>
      </c>
    </row>
    <row r="80">
      <c r="A80" s="3" t="n">
        <v>14</v>
      </c>
      <c r="B80" t="n">
        <v>4</v>
      </c>
      <c r="C80" s="3" t="inlineStr">
        <is>
          <t>Fava beans</t>
        </is>
      </c>
      <c r="D80" s="3" t="inlineStr">
        <is>
          <t>107.LEG2</t>
        </is>
      </c>
      <c r="E80" s="4" t="n">
        <v>110</v>
      </c>
      <c r="F80" s="5" t="n">
        <v>0.4334</v>
      </c>
    </row>
    <row r="81">
      <c r="A81" s="3" t="n">
        <v>15</v>
      </c>
      <c r="B81" t="n">
        <v>1</v>
      </c>
      <c r="C81" s="3" t="inlineStr">
        <is>
          <t>Sea bass fillet</t>
        </is>
      </c>
      <c r="D81" s="3" t="inlineStr">
        <is>
          <t>BCH011</t>
        </is>
      </c>
      <c r="E81" s="4" t="n">
        <v>200</v>
      </c>
      <c r="F81" s="5" t="n">
        <v>6.5</v>
      </c>
    </row>
    <row r="82">
      <c r="A82" s="3" t="n">
        <v>15</v>
      </c>
      <c r="B82" t="n">
        <v>2</v>
      </c>
      <c r="C82" s="3" t="inlineStr">
        <is>
          <t>Courgette</t>
        </is>
      </c>
      <c r="D82" s="3" t="inlineStr">
        <is>
          <t>106.FRVEG19</t>
        </is>
      </c>
      <c r="E82" s="4" t="n">
        <v>100</v>
      </c>
      <c r="F82" s="5" t="n">
        <v>0.25</v>
      </c>
    </row>
    <row r="83">
      <c r="A83" s="3" t="n">
        <v>15</v>
      </c>
      <c r="B83" t="n">
        <v>3</v>
      </c>
      <c r="C83" s="3" t="inlineStr">
        <is>
          <t>lemon juice</t>
        </is>
      </c>
      <c r="D83" s="3" t="inlineStr">
        <is>
          <t>109.LEM1</t>
        </is>
      </c>
      <c r="E83" s="4" t="n">
        <v>5</v>
      </c>
      <c r="F83" s="5" t="n">
        <v>0</v>
      </c>
    </row>
    <row r="84">
      <c r="A84" s="3" t="n">
        <v>15</v>
      </c>
      <c r="B84" t="n">
        <v>4</v>
      </c>
      <c r="C84" s="3" t="inlineStr">
        <is>
          <t>Olive oil</t>
        </is>
      </c>
      <c r="D84" s="3" t="inlineStr">
        <is>
          <t>109.OIL1</t>
        </is>
      </c>
      <c r="E84" s="4" t="n">
        <v>5</v>
      </c>
      <c r="F84" s="5" t="n">
        <v>0.03</v>
      </c>
    </row>
    <row r="85">
      <c r="A85" s="3" t="n">
        <v>16</v>
      </c>
      <c r="B85" t="n">
        <v>1</v>
      </c>
      <c r="C85" s="3" t="inlineStr">
        <is>
          <t>Linguine</t>
        </is>
      </c>
      <c r="D85" s="3" t="inlineStr">
        <is>
          <t>ING001</t>
        </is>
      </c>
      <c r="E85" s="4" t="n">
        <v>150</v>
      </c>
      <c r="F85" s="5" t="n">
        <v>0.4395</v>
      </c>
    </row>
    <row r="86">
      <c r="A86" s="3" t="n">
        <v>16</v>
      </c>
      <c r="B86" t="n">
        <v>2</v>
      </c>
      <c r="C86" s="3" t="inlineStr">
        <is>
          <t>PIzza sauce tomato</t>
        </is>
      </c>
      <c r="D86" s="3" t="inlineStr">
        <is>
          <t>BCH043</t>
        </is>
      </c>
      <c r="E86" s="4" t="n">
        <v>100</v>
      </c>
      <c r="F86" s="5" t="n">
        <v>0.2933076256</v>
      </c>
    </row>
    <row r="87">
      <c r="A87" s="3" t="n">
        <v>16</v>
      </c>
      <c r="B87" t="n">
        <v>3</v>
      </c>
      <c r="C87" s="3" t="inlineStr">
        <is>
          <t>Cherry tomato</t>
        </is>
      </c>
      <c r="D87" s="3" t="inlineStr">
        <is>
          <t>106.FRVEG64</t>
        </is>
      </c>
      <c r="E87" s="4" t="n">
        <v>50</v>
      </c>
      <c r="F87" s="5" t="n">
        <v>0.225</v>
      </c>
    </row>
    <row r="88">
      <c r="A88" s="3" t="n">
        <v>16</v>
      </c>
      <c r="B88" t="n">
        <v>4</v>
      </c>
      <c r="C88" s="3" t="inlineStr">
        <is>
          <t>Basil</t>
        </is>
      </c>
      <c r="D88" s="3" t="inlineStr">
        <is>
          <t>106.FRVEG5</t>
        </is>
      </c>
      <c r="E88" s="4" t="n">
        <v>10</v>
      </c>
      <c r="F88" s="5" t="n">
        <v>0.02</v>
      </c>
    </row>
    <row r="89">
      <c r="A89" s="3" t="n">
        <v>16</v>
      </c>
      <c r="B89" t="n">
        <v>5</v>
      </c>
      <c r="C89" s="3" t="inlineStr">
        <is>
          <t>Parmesan</t>
        </is>
      </c>
      <c r="D89" s="3" t="inlineStr">
        <is>
          <t>106.CHE43</t>
        </is>
      </c>
      <c r="E89" s="4" t="n">
        <v>20</v>
      </c>
      <c r="F89" s="5" t="n">
        <v>0.276</v>
      </c>
    </row>
    <row r="90">
      <c r="A90" s="3" t="n">
        <v>17</v>
      </c>
      <c r="B90" t="n">
        <v>1</v>
      </c>
      <c r="C90" s="3" t="inlineStr">
        <is>
          <t>Spicy Feta Dip Batch</t>
        </is>
      </c>
      <c r="D90" s="3" t="inlineStr">
        <is>
          <t>BCH080</t>
        </is>
      </c>
      <c r="E90" s="4" t="n">
        <v>120</v>
      </c>
      <c r="F90" s="5" t="n">
        <v>0.30916</v>
      </c>
    </row>
    <row r="91">
      <c r="A91" s="3" t="n">
        <v>17</v>
      </c>
      <c r="B91" t="n">
        <v>2</v>
      </c>
      <c r="C91" s="3" t="inlineStr">
        <is>
          <t>Marinated Aubergine Batch</t>
        </is>
      </c>
      <c r="D91" s="3" t="inlineStr">
        <is>
          <t>BCH072</t>
        </is>
      </c>
      <c r="E91" s="4" t="n">
        <v>200</v>
      </c>
      <c r="F91" s="5" t="n">
        <v>0.36204</v>
      </c>
    </row>
    <row r="92">
      <c r="A92" s="3" t="n">
        <v>17</v>
      </c>
      <c r="B92" t="n">
        <v>3</v>
      </c>
      <c r="C92" s="3" t="inlineStr">
        <is>
          <t>Pistachio Gremolata Batch</t>
        </is>
      </c>
      <c r="D92" s="3" t="inlineStr">
        <is>
          <t>BCH073</t>
        </is>
      </c>
      <c r="E92" s="4" t="n">
        <v>40</v>
      </c>
      <c r="F92" s="5" t="n">
        <v>0.48</v>
      </c>
    </row>
    <row r="93">
      <c r="A93" s="3" t="n">
        <v>18</v>
      </c>
      <c r="B93" t="n">
        <v>1</v>
      </c>
      <c r="C93" s="3" t="inlineStr">
        <is>
          <t>Boneless Lamb leg</t>
        </is>
      </c>
      <c r="D93" s="3" t="inlineStr">
        <is>
          <t>101.LAM2</t>
        </is>
      </c>
      <c r="E93" s="4" t="n">
        <v>300</v>
      </c>
      <c r="F93" s="5" t="n">
        <v>4.74</v>
      </c>
    </row>
    <row r="94">
      <c r="A94" s="3" t="n">
        <v>18</v>
      </c>
      <c r="B94" t="n">
        <v>2</v>
      </c>
      <c r="C94" s="3" t="inlineStr">
        <is>
          <t>potatoes</t>
        </is>
      </c>
      <c r="D94" s="3" t="inlineStr">
        <is>
          <t>106.FRVEG23</t>
        </is>
      </c>
      <c r="E94" s="4" t="n">
        <v>70</v>
      </c>
      <c r="F94" s="5" t="n">
        <v>0.112</v>
      </c>
    </row>
    <row r="95">
      <c r="A95" s="3" t="n">
        <v>18</v>
      </c>
      <c r="B95" t="n">
        <v>3</v>
      </c>
      <c r="C95" s="3" t="inlineStr">
        <is>
          <t>Garlic</t>
        </is>
      </c>
      <c r="D95" s="3" t="inlineStr">
        <is>
          <t>106.FRVEG10</t>
        </is>
      </c>
      <c r="E95" s="4" t="n">
        <v>20</v>
      </c>
      <c r="F95" s="5" t="n">
        <v>0.148</v>
      </c>
    </row>
    <row r="96">
      <c r="A96" s="3" t="n">
        <v>18</v>
      </c>
      <c r="B96" t="n">
        <v>4</v>
      </c>
      <c r="C96" s="3" t="inlineStr">
        <is>
          <t>mayonnaise</t>
        </is>
      </c>
      <c r="D96" s="3" t="inlineStr">
        <is>
          <t>106.MAMU9</t>
        </is>
      </c>
      <c r="E96" s="4" t="n">
        <v>30</v>
      </c>
      <c r="F96" s="5" t="n">
        <v>0.1347</v>
      </c>
    </row>
    <row r="97">
      <c r="A97" s="3" t="n">
        <v>20</v>
      </c>
      <c r="B97" t="n">
        <v>1</v>
      </c>
      <c r="C97" s="3" t="inlineStr">
        <is>
          <t>haloumi</t>
        </is>
      </c>
      <c r="D97" s="3" t="inlineStr">
        <is>
          <t>106.CHE11</t>
        </is>
      </c>
      <c r="E97" s="4" t="n">
        <v>50</v>
      </c>
      <c r="F97" s="5" t="n">
        <v>0.6375</v>
      </c>
    </row>
    <row r="98">
      <c r="A98" s="3" t="n">
        <v>25</v>
      </c>
      <c r="B98" t="n">
        <v>1</v>
      </c>
      <c r="C98" s="3" t="inlineStr">
        <is>
          <t>Pizza Dough batch</t>
        </is>
      </c>
      <c r="D98" s="3" t="inlineStr">
        <is>
          <t>BCH042</t>
        </is>
      </c>
      <c r="E98" s="4" t="n">
        <v>240</v>
      </c>
      <c r="F98" s="5" t="n">
        <v>0.14582304</v>
      </c>
    </row>
    <row r="99">
      <c r="A99" s="3" t="n">
        <v>25</v>
      </c>
      <c r="B99" t="n">
        <v>2</v>
      </c>
      <c r="C99" s="3" t="inlineStr">
        <is>
          <t>Nduja</t>
        </is>
      </c>
      <c r="D99" s="3" t="inlineStr">
        <is>
          <t>ING064</t>
        </is>
      </c>
      <c r="E99" s="4" t="n">
        <v>50</v>
      </c>
      <c r="F99" s="5" t="n">
        <v>0</v>
      </c>
    </row>
    <row r="100">
      <c r="A100" s="3" t="n">
        <v>25</v>
      </c>
      <c r="B100" t="n">
        <v>3</v>
      </c>
      <c r="C100" s="3" t="inlineStr">
        <is>
          <t>Rocket</t>
        </is>
      </c>
      <c r="D100" s="3" t="inlineStr">
        <is>
          <t>106.FRVEG156</t>
        </is>
      </c>
      <c r="E100" s="4" t="n">
        <v>40</v>
      </c>
      <c r="F100" s="5" t="n">
        <v>0.3</v>
      </c>
    </row>
    <row r="101">
      <c r="A101" s="3" t="n">
        <v>25</v>
      </c>
      <c r="B101" t="n">
        <v>4</v>
      </c>
      <c r="C101" s="3" t="inlineStr">
        <is>
          <t>Parmesan</t>
        </is>
      </c>
      <c r="D101" s="3" t="inlineStr"/>
      <c r="E101" s="4" t="n"/>
      <c r="F101" s="5" t="n"/>
    </row>
    <row r="102">
      <c r="A102" s="3" t="n">
        <v>29</v>
      </c>
      <c r="B102" t="n">
        <v>1</v>
      </c>
      <c r="C102" s="3" t="inlineStr">
        <is>
          <t>Gem lettuce</t>
        </is>
      </c>
      <c r="D102" s="3" t="inlineStr">
        <is>
          <t>106.FRVEG36</t>
        </is>
      </c>
      <c r="E102" s="4" t="n">
        <v>100</v>
      </c>
      <c r="F102" s="5" t="n">
        <v>0.42</v>
      </c>
    </row>
    <row r="103">
      <c r="A103" s="3" t="n">
        <v>29</v>
      </c>
      <c r="B103" t="n">
        <v>2</v>
      </c>
      <c r="C103" s="3" t="inlineStr">
        <is>
          <t>bacon</t>
        </is>
      </c>
      <c r="D103" s="3" t="inlineStr">
        <is>
          <t>106.COCU13</t>
        </is>
      </c>
      <c r="E103" s="4" t="n">
        <v>30</v>
      </c>
      <c r="F103" s="5" t="n">
        <v>0.2325</v>
      </c>
    </row>
    <row r="104">
      <c r="A104" s="3" t="n">
        <v>29</v>
      </c>
      <c r="B104" t="n">
        <v>3</v>
      </c>
      <c r="C104" s="3" t="inlineStr">
        <is>
          <t>croutons</t>
        </is>
      </c>
      <c r="D104" s="3" t="inlineStr">
        <is>
          <t>107.BRE38</t>
        </is>
      </c>
      <c r="E104" s="4" t="n">
        <v>20</v>
      </c>
      <c r="F104" s="5" t="n">
        <v>0</v>
      </c>
    </row>
    <row r="105">
      <c r="A105" s="3" t="n">
        <v>29</v>
      </c>
      <c r="B105" t="n">
        <v>4</v>
      </c>
      <c r="C105" s="3" t="inlineStr">
        <is>
          <t>chicken breast</t>
        </is>
      </c>
      <c r="D105" s="3" t="inlineStr">
        <is>
          <t>101.CHI9</t>
        </is>
      </c>
      <c r="E105" s="4" t="n">
        <v>100</v>
      </c>
      <c r="F105" s="5" t="n">
        <v>0.68</v>
      </c>
    </row>
    <row r="106">
      <c r="A106" s="3" t="n">
        <v>29</v>
      </c>
      <c r="B106" t="n">
        <v>5</v>
      </c>
      <c r="C106" s="3" t="inlineStr">
        <is>
          <t>Caesar Dressing Batch</t>
        </is>
      </c>
      <c r="D106" s="3" t="inlineStr">
        <is>
          <t>BCH001</t>
        </is>
      </c>
      <c r="E106" s="4" t="n">
        <v>50</v>
      </c>
      <c r="F106" s="5" t="n">
        <v>0.31214</v>
      </c>
    </row>
    <row r="107">
      <c r="A107" s="3" t="n">
        <v>29</v>
      </c>
      <c r="B107" t="n">
        <v>6</v>
      </c>
      <c r="C107" s="3" t="inlineStr">
        <is>
          <t>Parmesan</t>
        </is>
      </c>
      <c r="D107" s="3" t="inlineStr">
        <is>
          <t>106.CHE43</t>
        </is>
      </c>
      <c r="E107" s="4" t="n">
        <v>5</v>
      </c>
      <c r="F107" s="5" t="n">
        <v>0.06900000000000001</v>
      </c>
    </row>
    <row r="108">
      <c r="A108" s="3" t="n">
        <v>30</v>
      </c>
      <c r="B108" t="n">
        <v>1</v>
      </c>
      <c r="C108" s="3" t="inlineStr">
        <is>
          <t>Tomato</t>
        </is>
      </c>
      <c r="D108" s="3" t="inlineStr">
        <is>
          <t>106.FRVEG13</t>
        </is>
      </c>
      <c r="E108" s="4" t="n">
        <v>250</v>
      </c>
      <c r="F108" s="5" t="n">
        <v>0.65</v>
      </c>
    </row>
    <row r="109">
      <c r="A109" s="3" t="n">
        <v>30</v>
      </c>
      <c r="B109" t="n">
        <v>2</v>
      </c>
      <c r="C109" s="3" t="inlineStr">
        <is>
          <t>cucumber</t>
        </is>
      </c>
      <c r="D109" s="3" t="inlineStr">
        <is>
          <t>106.FRVEG84</t>
        </is>
      </c>
      <c r="E109" s="4" t="n">
        <v>50</v>
      </c>
      <c r="F109" s="5" t="n">
        <v>0.035</v>
      </c>
    </row>
    <row r="110">
      <c r="A110" s="3" t="n">
        <v>30</v>
      </c>
      <c r="B110" t="n">
        <v>3</v>
      </c>
      <c r="C110" s="3" t="inlineStr">
        <is>
          <t>green peppers</t>
        </is>
      </c>
      <c r="D110" s="3" t="inlineStr">
        <is>
          <t>106.FRVEG61</t>
        </is>
      </c>
      <c r="E110" s="4" t="n">
        <v>20</v>
      </c>
      <c r="F110" s="5" t="n">
        <v>0.046</v>
      </c>
    </row>
    <row r="111">
      <c r="A111" s="3" t="n">
        <v>30</v>
      </c>
      <c r="B111" t="n">
        <v>4</v>
      </c>
      <c r="C111" s="3" t="inlineStr">
        <is>
          <t>Red Onion</t>
        </is>
      </c>
      <c r="D111" s="3" t="inlineStr">
        <is>
          <t>106.FRVEG18</t>
        </is>
      </c>
      <c r="E111" s="4" t="n">
        <v>10</v>
      </c>
      <c r="F111" s="5" t="n">
        <v>0.0125</v>
      </c>
    </row>
    <row r="112">
      <c r="A112" s="3" t="n">
        <v>30</v>
      </c>
      <c r="B112" t="n">
        <v>5</v>
      </c>
      <c r="C112" s="3" t="inlineStr">
        <is>
          <t>feta</t>
        </is>
      </c>
      <c r="D112" s="3" t="inlineStr">
        <is>
          <t>106.CHE14</t>
        </is>
      </c>
      <c r="E112" s="4" t="n">
        <v>60</v>
      </c>
      <c r="F112" s="5" t="n">
        <v>0.6042</v>
      </c>
    </row>
    <row r="113">
      <c r="A113" s="3" t="n">
        <v>30</v>
      </c>
      <c r="B113" t="n">
        <v>6</v>
      </c>
      <c r="C113" s="3" t="inlineStr">
        <is>
          <t>olive oil</t>
        </is>
      </c>
      <c r="D113" s="3" t="inlineStr">
        <is>
          <t>109.OIL1</t>
        </is>
      </c>
      <c r="E113" s="4" t="n">
        <v>30</v>
      </c>
      <c r="F113" s="5" t="n">
        <v>0.18</v>
      </c>
    </row>
    <row r="114">
      <c r="A114" s="3" t="n">
        <v>30</v>
      </c>
      <c r="B114" t="n">
        <v>7</v>
      </c>
      <c r="C114" s="3" t="inlineStr">
        <is>
          <t>Red Wine Vinigar</t>
        </is>
      </c>
      <c r="D114" s="3" t="inlineStr">
        <is>
          <t>109.VIN7</t>
        </is>
      </c>
      <c r="E114" s="4" t="n">
        <v>10</v>
      </c>
      <c r="F114" s="5" t="n">
        <v>0.0098</v>
      </c>
    </row>
    <row r="115">
      <c r="A115" s="3" t="n">
        <v>30</v>
      </c>
      <c r="B115" t="n">
        <v>8</v>
      </c>
      <c r="C115" s="3" t="inlineStr">
        <is>
          <t>oregano dried</t>
        </is>
      </c>
      <c r="D115" s="3" t="inlineStr">
        <is>
          <t>106.FRVEG26</t>
        </is>
      </c>
      <c r="E115" s="4" t="n">
        <v>2</v>
      </c>
      <c r="F115" s="5" t="n">
        <v>0.0072</v>
      </c>
    </row>
    <row r="116">
      <c r="A116" s="3" t="n">
        <v>31</v>
      </c>
      <c r="B116" t="n">
        <v>1</v>
      </c>
      <c r="C116" s="3" t="inlineStr">
        <is>
          <t>Watermelon</t>
        </is>
      </c>
      <c r="D116" s="3" t="inlineStr">
        <is>
          <t>106.FRFRU18</t>
        </is>
      </c>
      <c r="E116" s="4" t="n">
        <v>250</v>
      </c>
      <c r="F116" s="5" t="n">
        <v>0.1625</v>
      </c>
    </row>
    <row r="117">
      <c r="A117" s="3" t="n">
        <v>31</v>
      </c>
      <c r="B117" t="n">
        <v>2</v>
      </c>
      <c r="C117" s="3" t="inlineStr">
        <is>
          <t>feta</t>
        </is>
      </c>
      <c r="D117" s="3" t="inlineStr">
        <is>
          <t>106.CHE14</t>
        </is>
      </c>
      <c r="E117" s="4" t="n">
        <v>100</v>
      </c>
      <c r="F117" s="5" t="n">
        <v>1.007</v>
      </c>
    </row>
    <row r="118">
      <c r="A118" s="3" t="n">
        <v>31</v>
      </c>
      <c r="B118" t="n">
        <v>3</v>
      </c>
      <c r="C118" s="3" t="inlineStr">
        <is>
          <t>cucumber</t>
        </is>
      </c>
      <c r="D118" s="3" t="inlineStr">
        <is>
          <t>106.FRVEG84</t>
        </is>
      </c>
      <c r="E118" s="4" t="n">
        <v>80</v>
      </c>
      <c r="F118" s="5" t="n">
        <v>0.056</v>
      </c>
    </row>
    <row r="119">
      <c r="A119" s="3" t="n">
        <v>31</v>
      </c>
      <c r="B119" t="n">
        <v>4</v>
      </c>
      <c r="C119" s="3" t="inlineStr">
        <is>
          <t>fresh mint</t>
        </is>
      </c>
      <c r="D119" s="3" t="inlineStr">
        <is>
          <t>106.FRVEG122</t>
        </is>
      </c>
      <c r="E119" s="4" t="n">
        <v>5</v>
      </c>
      <c r="F119" s="5" t="n">
        <v>0.01</v>
      </c>
    </row>
    <row r="120">
      <c r="A120" s="3" t="n">
        <v>31</v>
      </c>
      <c r="B120" t="n">
        <v>5</v>
      </c>
      <c r="C120" s="3" t="inlineStr">
        <is>
          <t>fresh parsley</t>
        </is>
      </c>
      <c r="D120" s="3" t="inlineStr">
        <is>
          <t>106.FRVEG42</t>
        </is>
      </c>
      <c r="E120" s="4" t="n">
        <v>5</v>
      </c>
      <c r="F120" s="5" t="n">
        <v>0.0045</v>
      </c>
    </row>
    <row r="121">
      <c r="A121" s="3" t="n">
        <v>31</v>
      </c>
      <c r="B121" t="n">
        <v>6</v>
      </c>
      <c r="C121" s="3" t="inlineStr">
        <is>
          <t>olive oil</t>
        </is>
      </c>
      <c r="D121" s="3" t="inlineStr">
        <is>
          <t>109.OIL1</t>
        </is>
      </c>
      <c r="E121" s="4" t="n">
        <v>10</v>
      </c>
      <c r="F121" s="5" t="n">
        <v>0.06</v>
      </c>
    </row>
    <row r="122">
      <c r="A122" s="3" t="n">
        <v>31</v>
      </c>
      <c r="B122" t="n">
        <v>7</v>
      </c>
      <c r="C122" s="3" t="inlineStr">
        <is>
          <t>Balsamic Vinigar</t>
        </is>
      </c>
      <c r="D122" s="3" t="inlineStr">
        <is>
          <t>109.VIN1</t>
        </is>
      </c>
      <c r="E122" s="4" t="n">
        <v>5</v>
      </c>
      <c r="F122" s="5" t="n">
        <v>0.01165</v>
      </c>
    </row>
    <row r="123">
      <c r="A123" s="3" t="n">
        <v>32</v>
      </c>
      <c r="B123" t="n">
        <v>1</v>
      </c>
      <c r="C123" s="3" t="inlineStr">
        <is>
          <t>Braised lamb batch</t>
        </is>
      </c>
      <c r="D123" s="3" t="inlineStr">
        <is>
          <t>BCH017</t>
        </is>
      </c>
      <c r="E123" s="4" t="n">
        <v>120</v>
      </c>
      <c r="F123" s="5" t="n">
        <v>1.560060581</v>
      </c>
    </row>
    <row r="124">
      <c r="A124" s="3" t="n">
        <v>32</v>
      </c>
      <c r="B124" t="n">
        <v>2</v>
      </c>
      <c r="C124" s="3" t="inlineStr">
        <is>
          <t>pickled onions</t>
        </is>
      </c>
      <c r="D124" s="3" t="inlineStr">
        <is>
          <t>106.FRVEG155</t>
        </is>
      </c>
      <c r="E124" s="4" t="n">
        <v>30</v>
      </c>
      <c r="F124" s="5" t="n">
        <v>0</v>
      </c>
    </row>
    <row r="125">
      <c r="A125" s="3" t="n">
        <v>32</v>
      </c>
      <c r="B125" t="n">
        <v>3</v>
      </c>
      <c r="C125" s="3" t="inlineStr">
        <is>
          <t>Tzatsiki batch</t>
        </is>
      </c>
      <c r="D125" s="3" t="inlineStr">
        <is>
          <t>BCH020</t>
        </is>
      </c>
      <c r="E125" s="4" t="n">
        <v>50</v>
      </c>
      <c r="F125" s="5" t="n">
        <v>0.1642857143</v>
      </c>
    </row>
    <row r="126">
      <c r="A126" s="3" t="n">
        <v>32</v>
      </c>
      <c r="B126" t="n">
        <v>4</v>
      </c>
      <c r="C126" s="3" t="inlineStr">
        <is>
          <t>Mixed leaf salad</t>
        </is>
      </c>
      <c r="D126" s="3" t="inlineStr">
        <is>
          <t>106.FRVEG150</t>
        </is>
      </c>
      <c r="E126" s="4" t="n">
        <v>80</v>
      </c>
      <c r="F126" s="5" t="n">
        <v>0.88</v>
      </c>
    </row>
    <row r="127">
      <c r="A127" s="3" t="n">
        <v>32</v>
      </c>
      <c r="B127" t="n">
        <v>5</v>
      </c>
      <c r="C127" s="3" t="inlineStr">
        <is>
          <t>Crispy fried onions</t>
        </is>
      </c>
      <c r="D127" s="3" t="inlineStr">
        <is>
          <t>102.REMA3</t>
        </is>
      </c>
      <c r="E127" s="4" t="n">
        <v>15</v>
      </c>
      <c r="F127" s="5" t="n">
        <v>0.1539</v>
      </c>
    </row>
    <row r="128">
      <c r="A128" s="3" t="n">
        <v>32</v>
      </c>
      <c r="B128" t="n">
        <v>6</v>
      </c>
      <c r="C128" s="3" t="inlineStr">
        <is>
          <t>Cherry tomato</t>
        </is>
      </c>
      <c r="D128" s="3" t="inlineStr">
        <is>
          <t>106.FRVEG64</t>
        </is>
      </c>
      <c r="E128" s="4" t="n">
        <v>50</v>
      </c>
      <c r="F128" s="5" t="n">
        <v>0.225</v>
      </c>
    </row>
    <row r="129">
      <c r="A129" s="3" t="n">
        <v>32</v>
      </c>
      <c r="B129" t="n">
        <v>7</v>
      </c>
      <c r="C129" s="3" t="inlineStr">
        <is>
          <t>Cucumber</t>
        </is>
      </c>
      <c r="D129" s="3" t="inlineStr">
        <is>
          <t>106.FRVEG84</t>
        </is>
      </c>
      <c r="E129" s="4" t="n">
        <v>15</v>
      </c>
      <c r="F129" s="5" t="n">
        <v>0.0105</v>
      </c>
    </row>
    <row r="130">
      <c r="A130" s="3" t="n">
        <v>32</v>
      </c>
      <c r="B130" t="n">
        <v>8</v>
      </c>
      <c r="C130" s="3" t="inlineStr">
        <is>
          <t>Olive oil</t>
        </is>
      </c>
      <c r="D130" s="3" t="inlineStr">
        <is>
          <t>109.OIL1</t>
        </is>
      </c>
      <c r="E130" s="4" t="n">
        <v>5</v>
      </c>
      <c r="F130" s="5" t="n">
        <v>0.03</v>
      </c>
    </row>
    <row r="131">
      <c r="A131" s="3" t="n">
        <v>32</v>
      </c>
      <c r="B131" t="n">
        <v>9</v>
      </c>
      <c r="C131" s="3" t="inlineStr">
        <is>
          <t>Lemon juice</t>
        </is>
      </c>
      <c r="D131" s="3" t="inlineStr">
        <is>
          <t>109.LEM1</t>
        </is>
      </c>
      <c r="E131" s="4" t="n">
        <v>5</v>
      </c>
      <c r="F131" s="5" t="n">
        <v>0</v>
      </c>
    </row>
    <row r="132">
      <c r="A132" s="3" t="n">
        <v>33</v>
      </c>
      <c r="B132" t="n">
        <v>1</v>
      </c>
      <c r="C132" s="3" t="inlineStr">
        <is>
          <t>Pizza Dough batch</t>
        </is>
      </c>
      <c r="D132" s="3" t="inlineStr">
        <is>
          <t>BCH042</t>
        </is>
      </c>
      <c r="E132" s="4" t="n">
        <v>240</v>
      </c>
      <c r="F132" s="5" t="n">
        <v>0.14582304</v>
      </c>
    </row>
    <row r="133">
      <c r="A133" s="3" t="n">
        <v>33</v>
      </c>
      <c r="B133" t="n">
        <v>2</v>
      </c>
      <c r="C133" s="3" t="inlineStr">
        <is>
          <t>PIzza sauce tomato</t>
        </is>
      </c>
      <c r="D133" s="3" t="inlineStr">
        <is>
          <t>BCH043</t>
        </is>
      </c>
      <c r="E133" s="4" t="n">
        <v>120</v>
      </c>
      <c r="F133" s="5" t="n">
        <v>0.3519691508</v>
      </c>
    </row>
    <row r="134">
      <c r="A134" s="3" t="n">
        <v>33</v>
      </c>
      <c r="B134" t="n">
        <v>3</v>
      </c>
      <c r="C134" s="3" t="inlineStr">
        <is>
          <t>Mozzarella</t>
        </is>
      </c>
      <c r="D134" s="3" t="inlineStr">
        <is>
          <t>106.CHE39</t>
        </is>
      </c>
      <c r="E134" s="4" t="n">
        <v>125</v>
      </c>
      <c r="F134" s="5" t="n">
        <v>3.16875</v>
      </c>
    </row>
    <row r="135">
      <c r="A135" s="3" t="n">
        <v>33</v>
      </c>
      <c r="B135" t="n">
        <v>4</v>
      </c>
      <c r="C135" s="3" t="inlineStr">
        <is>
          <t>Parmesan</t>
        </is>
      </c>
      <c r="D135" s="3" t="inlineStr">
        <is>
          <t>106.CHE43</t>
        </is>
      </c>
      <c r="E135" s="4" t="n">
        <v>15</v>
      </c>
      <c r="F135" s="5" t="n">
        <v>0.207</v>
      </c>
    </row>
    <row r="136">
      <c r="A136" s="3" t="n">
        <v>33</v>
      </c>
      <c r="B136" t="n">
        <v>5</v>
      </c>
      <c r="C136" s="3" t="inlineStr">
        <is>
          <t>Basil</t>
        </is>
      </c>
      <c r="D136" s="3" t="inlineStr">
        <is>
          <t>106.FRVEG5</t>
        </is>
      </c>
      <c r="E136" s="4" t="n">
        <v>3</v>
      </c>
      <c r="F136" s="5" t="n">
        <v>0.006</v>
      </c>
    </row>
    <row r="137">
      <c r="A137" s="3" t="n">
        <v>33</v>
      </c>
      <c r="B137" t="n">
        <v>6</v>
      </c>
      <c r="C137" s="3" t="inlineStr">
        <is>
          <t>olive oil</t>
        </is>
      </c>
      <c r="D137" s="3" t="inlineStr">
        <is>
          <t>109.OIL1</t>
        </is>
      </c>
      <c r="E137" s="4" t="n">
        <v>5</v>
      </c>
      <c r="F137" s="5" t="n">
        <v>0.03</v>
      </c>
    </row>
    <row r="138">
      <c r="A138" s="3" t="n">
        <v>34</v>
      </c>
      <c r="B138" t="n">
        <v>1</v>
      </c>
      <c r="C138" s="3" t="inlineStr">
        <is>
          <t>Pizza Dough batch</t>
        </is>
      </c>
      <c r="D138" s="3" t="inlineStr">
        <is>
          <t>BCH042</t>
        </is>
      </c>
      <c r="E138" s="4" t="n">
        <v>240</v>
      </c>
      <c r="F138" s="5" t="n">
        <v>0.14582304</v>
      </c>
    </row>
    <row r="139">
      <c r="A139" s="3" t="n">
        <v>34</v>
      </c>
      <c r="B139" t="n">
        <v>2</v>
      </c>
      <c r="C139" s="3" t="inlineStr">
        <is>
          <t>Mozzarella</t>
        </is>
      </c>
      <c r="D139" s="3" t="inlineStr">
        <is>
          <t>106.CHE39</t>
        </is>
      </c>
      <c r="E139" s="4" t="n">
        <v>100</v>
      </c>
      <c r="F139" s="5" t="n">
        <v>2.535</v>
      </c>
    </row>
    <row r="140">
      <c r="A140" s="3" t="n">
        <v>34</v>
      </c>
      <c r="B140" t="n">
        <v>3</v>
      </c>
      <c r="C140" s="3" t="inlineStr">
        <is>
          <t>Mushrooms</t>
        </is>
      </c>
      <c r="D140" s="3" t="inlineStr">
        <is>
          <t>106.FRVEG123</t>
        </is>
      </c>
      <c r="E140" s="4" t="n">
        <v>100</v>
      </c>
      <c r="F140" s="5" t="n">
        <v>0.41</v>
      </c>
    </row>
    <row r="141">
      <c r="A141" s="3" t="n">
        <v>34</v>
      </c>
      <c r="B141" t="n">
        <v>4</v>
      </c>
      <c r="C141" s="3" t="inlineStr">
        <is>
          <t>truffle oil</t>
        </is>
      </c>
      <c r="D141" s="3" t="inlineStr">
        <is>
          <t>109.OIL4</t>
        </is>
      </c>
      <c r="E141" s="4" t="n">
        <v>5</v>
      </c>
      <c r="F141" s="5" t="n">
        <v>0</v>
      </c>
    </row>
    <row r="142">
      <c r="A142" s="3" t="n">
        <v>34</v>
      </c>
      <c r="B142" t="n">
        <v>5</v>
      </c>
      <c r="C142" s="3" t="inlineStr">
        <is>
          <t>parmesan</t>
        </is>
      </c>
      <c r="D142" s="3" t="inlineStr">
        <is>
          <t>106.CHE43</t>
        </is>
      </c>
      <c r="E142" s="4" t="n">
        <v>15</v>
      </c>
      <c r="F142" s="5" t="n">
        <v>0.207</v>
      </c>
    </row>
    <row r="143">
      <c r="A143" s="3" t="n">
        <v>34</v>
      </c>
      <c r="B143" t="n">
        <v>6</v>
      </c>
      <c r="C143" s="3" t="inlineStr">
        <is>
          <t>Rocket</t>
        </is>
      </c>
      <c r="D143" s="3" t="inlineStr">
        <is>
          <t>106.FRVEG156</t>
        </is>
      </c>
      <c r="E143" s="4" t="n">
        <v>5</v>
      </c>
      <c r="F143" s="5" t="n">
        <v>0.0375</v>
      </c>
    </row>
    <row r="144">
      <c r="A144" s="3" t="n">
        <v>34</v>
      </c>
      <c r="B144" t="n">
        <v>7</v>
      </c>
      <c r="C144" s="3" t="inlineStr">
        <is>
          <t>pepper</t>
        </is>
      </c>
      <c r="D144" s="3" t="inlineStr">
        <is>
          <t>107.SPIC4</t>
        </is>
      </c>
      <c r="E144" s="4" t="n">
        <v>2</v>
      </c>
      <c r="F144" s="5" t="n">
        <v>0.04508</v>
      </c>
    </row>
    <row r="145">
      <c r="A145" s="3" t="n">
        <v>34</v>
      </c>
      <c r="B145" t="n">
        <v>8</v>
      </c>
      <c r="C145" s="3" t="inlineStr">
        <is>
          <t>Salt</t>
        </is>
      </c>
      <c r="D145" s="3" t="inlineStr">
        <is>
          <t>107.SPIC13</t>
        </is>
      </c>
      <c r="E145" s="4" t="n">
        <v>2</v>
      </c>
      <c r="F145" s="5" t="n">
        <v>0.00156</v>
      </c>
    </row>
    <row r="146">
      <c r="A146" s="3" t="n">
        <v>35</v>
      </c>
      <c r="B146" t="n">
        <v>1</v>
      </c>
      <c r="C146" s="3" t="inlineStr">
        <is>
          <t>Pizza Dough batch</t>
        </is>
      </c>
      <c r="D146" s="3" t="inlineStr">
        <is>
          <t>BCH042</t>
        </is>
      </c>
      <c r="E146" s="4" t="n">
        <v>240</v>
      </c>
      <c r="F146" s="5" t="n">
        <v>0.14582304</v>
      </c>
    </row>
    <row r="147">
      <c r="A147" s="3" t="n">
        <v>35</v>
      </c>
      <c r="B147" t="n">
        <v>2</v>
      </c>
      <c r="C147" s="3" t="inlineStr">
        <is>
          <t>PIzza sauce tomato</t>
        </is>
      </c>
      <c r="D147" s="3" t="inlineStr">
        <is>
          <t>BCH043</t>
        </is>
      </c>
      <c r="E147" s="4" t="n">
        <v>120</v>
      </c>
      <c r="F147" s="5" t="n">
        <v>0.3519691508</v>
      </c>
    </row>
    <row r="148">
      <c r="A148" s="3" t="n">
        <v>35</v>
      </c>
      <c r="B148" t="n">
        <v>3</v>
      </c>
      <c r="C148" s="3" t="inlineStr">
        <is>
          <t>Mozzarella</t>
        </is>
      </c>
      <c r="D148" s="3" t="inlineStr">
        <is>
          <t>106.CHE39</t>
        </is>
      </c>
      <c r="E148" s="4" t="n">
        <v>100</v>
      </c>
      <c r="F148" s="5" t="n">
        <v>2.535</v>
      </c>
    </row>
    <row r="149">
      <c r="A149" s="3" t="n">
        <v>35</v>
      </c>
      <c r="B149" t="n">
        <v>4</v>
      </c>
      <c r="C149" s="3" t="inlineStr">
        <is>
          <t>Parma Ham</t>
        </is>
      </c>
      <c r="D149" s="3" t="inlineStr">
        <is>
          <t>106.COCU14</t>
        </is>
      </c>
      <c r="E149" s="4" t="n">
        <v>30</v>
      </c>
      <c r="F149" s="5" t="n">
        <v>0.678</v>
      </c>
    </row>
    <row r="150">
      <c r="A150" s="3" t="n">
        <v>35</v>
      </c>
      <c r="B150" t="n">
        <v>5</v>
      </c>
      <c r="C150" s="3" t="inlineStr">
        <is>
          <t>parmesan</t>
        </is>
      </c>
      <c r="D150" s="3" t="inlineStr">
        <is>
          <t>106.CHE43</t>
        </is>
      </c>
      <c r="E150" s="4" t="n">
        <v>15</v>
      </c>
      <c r="F150" s="5" t="n">
        <v>0.207</v>
      </c>
    </row>
    <row r="151">
      <c r="A151" s="3" t="n">
        <v>35</v>
      </c>
      <c r="B151" t="n">
        <v>6</v>
      </c>
      <c r="C151" s="3" t="inlineStr">
        <is>
          <t>Rocket</t>
        </is>
      </c>
      <c r="D151" s="3" t="inlineStr">
        <is>
          <t>106.FRVEG156</t>
        </is>
      </c>
      <c r="E151" s="4" t="n">
        <v>5</v>
      </c>
      <c r="F151" s="5" t="n">
        <v>0.0375</v>
      </c>
    </row>
    <row r="152">
      <c r="A152" s="3" t="n">
        <v>35</v>
      </c>
      <c r="B152" t="n">
        <v>7</v>
      </c>
      <c r="C152" s="3" t="inlineStr">
        <is>
          <t>olive oil</t>
        </is>
      </c>
      <c r="D152" s="3" t="inlineStr">
        <is>
          <t>109.OIL1</t>
        </is>
      </c>
      <c r="E152" s="4" t="n">
        <v>2</v>
      </c>
      <c r="F152" s="5" t="n">
        <v>0.012</v>
      </c>
    </row>
    <row r="153">
      <c r="A153" s="3" t="n">
        <v>35</v>
      </c>
      <c r="B153" t="n">
        <v>8</v>
      </c>
      <c r="C153" s="3" t="inlineStr">
        <is>
          <t>Pepper</t>
        </is>
      </c>
      <c r="D153" s="3" t="inlineStr">
        <is>
          <t>107.SPIC4</t>
        </is>
      </c>
      <c r="E153" s="4" t="n">
        <v>2</v>
      </c>
      <c r="F153" s="5" t="n">
        <v>0.04508</v>
      </c>
    </row>
    <row r="154">
      <c r="A154" s="3" t="n">
        <v>36</v>
      </c>
      <c r="B154" t="n">
        <v>1</v>
      </c>
      <c r="C154" s="3" t="inlineStr">
        <is>
          <t>Pizza Dough batch</t>
        </is>
      </c>
      <c r="D154" s="3" t="inlineStr">
        <is>
          <t>BCH042</t>
        </is>
      </c>
      <c r="E154" s="4" t="n">
        <v>240</v>
      </c>
      <c r="F154" s="5" t="n">
        <v>0.14582304</v>
      </c>
    </row>
    <row r="155">
      <c r="A155" s="3" t="n">
        <v>36</v>
      </c>
      <c r="B155" t="n">
        <v>2</v>
      </c>
      <c r="C155" s="3" t="inlineStr">
        <is>
          <t>Olive oil</t>
        </is>
      </c>
      <c r="D155" s="3" t="inlineStr">
        <is>
          <t>109.OIL1</t>
        </is>
      </c>
      <c r="E155" s="4" t="n">
        <v>10</v>
      </c>
      <c r="F155" s="5" t="n">
        <v>0.06</v>
      </c>
    </row>
    <row r="156">
      <c r="A156" s="3" t="n">
        <v>36</v>
      </c>
      <c r="B156" t="n">
        <v>3</v>
      </c>
      <c r="C156" s="3" t="inlineStr">
        <is>
          <t>Ricotta</t>
        </is>
      </c>
      <c r="D156" s="3" t="inlineStr">
        <is>
          <t>106.CHE50</t>
        </is>
      </c>
      <c r="E156" s="4" t="n">
        <v>100</v>
      </c>
      <c r="F156" s="5" t="n">
        <v>0.9</v>
      </c>
    </row>
    <row r="157">
      <c r="A157" s="3" t="n">
        <v>36</v>
      </c>
      <c r="B157" t="n">
        <v>4</v>
      </c>
      <c r="C157" s="3" t="inlineStr">
        <is>
          <t>Courgette</t>
        </is>
      </c>
      <c r="D157" s="3" t="inlineStr">
        <is>
          <t>106.FRVEG19</t>
        </is>
      </c>
      <c r="E157" s="4" t="n">
        <v>80</v>
      </c>
      <c r="F157" s="5" t="n">
        <v>0.2</v>
      </c>
    </row>
    <row r="158">
      <c r="A158" s="3" t="n">
        <v>36</v>
      </c>
      <c r="B158" t="n">
        <v>5</v>
      </c>
      <c r="C158" s="3" t="inlineStr">
        <is>
          <t>Mozzarella</t>
        </is>
      </c>
      <c r="D158" s="3" t="inlineStr">
        <is>
          <t>106.CHE39</t>
        </is>
      </c>
      <c r="E158" s="4" t="n">
        <v>80</v>
      </c>
      <c r="F158" s="5" t="n">
        <v>2.028</v>
      </c>
    </row>
    <row r="159">
      <c r="A159" s="3" t="n">
        <v>36</v>
      </c>
      <c r="B159" t="n">
        <v>6</v>
      </c>
      <c r="C159" s="3" t="inlineStr">
        <is>
          <t>Parmesan</t>
        </is>
      </c>
      <c r="D159" s="3" t="inlineStr">
        <is>
          <t>106.CHE43</t>
        </is>
      </c>
      <c r="E159" s="4" t="n">
        <v>15</v>
      </c>
      <c r="F159" s="5" t="n">
        <v>0.207</v>
      </c>
    </row>
    <row r="160">
      <c r="A160" s="3" t="n">
        <v>36</v>
      </c>
      <c r="B160" t="n">
        <v>7</v>
      </c>
      <c r="C160" s="3" t="inlineStr">
        <is>
          <t>Pine nuts</t>
        </is>
      </c>
      <c r="D160" s="3" t="inlineStr">
        <is>
          <t>107.NUT17</t>
        </is>
      </c>
      <c r="E160" s="4" t="n">
        <v>15</v>
      </c>
      <c r="F160" s="5" t="n">
        <v>0.507</v>
      </c>
    </row>
    <row r="161">
      <c r="A161" s="3" t="n">
        <v>36</v>
      </c>
      <c r="B161" t="n">
        <v>8</v>
      </c>
      <c r="C161" s="3" t="inlineStr">
        <is>
          <t>pepper</t>
        </is>
      </c>
      <c r="D161" s="3" t="inlineStr">
        <is>
          <t>107.SPIC4</t>
        </is>
      </c>
      <c r="E161" s="4" t="n">
        <v>2</v>
      </c>
      <c r="F161" s="5" t="n">
        <v>0.04508</v>
      </c>
    </row>
    <row r="162">
      <c r="A162" s="3" t="n">
        <v>36</v>
      </c>
      <c r="B162" t="n">
        <v>9</v>
      </c>
      <c r="C162" s="3" t="inlineStr">
        <is>
          <t>lemon zest</t>
        </is>
      </c>
      <c r="D162" s="3" t="inlineStr">
        <is>
          <t>106.FRVEG27</t>
        </is>
      </c>
      <c r="E162" s="4" t="n">
        <v>2</v>
      </c>
      <c r="F162" s="5" t="n">
        <v>0.0054</v>
      </c>
    </row>
    <row r="163">
      <c r="A163" s="3" t="n">
        <v>37</v>
      </c>
      <c r="B163" t="n">
        <v>1</v>
      </c>
      <c r="C163" s="3" t="inlineStr">
        <is>
          <t>Pizza Dough batch</t>
        </is>
      </c>
      <c r="D163" s="3" t="inlineStr">
        <is>
          <t>BCH042</t>
        </is>
      </c>
      <c r="E163" s="4" t="n">
        <v>240</v>
      </c>
      <c r="F163" s="5" t="n">
        <v>0.14582304</v>
      </c>
    </row>
    <row r="164">
      <c r="A164" s="3" t="n">
        <v>37</v>
      </c>
      <c r="B164" t="n">
        <v>2</v>
      </c>
      <c r="C164" s="3" t="inlineStr">
        <is>
          <t>PIzza sauce tomato</t>
        </is>
      </c>
      <c r="D164" s="3" t="inlineStr">
        <is>
          <t>BCH043</t>
        </is>
      </c>
      <c r="E164" s="4" t="n">
        <v>120</v>
      </c>
      <c r="F164" s="5" t="n">
        <v>0.3519691508</v>
      </c>
    </row>
    <row r="165">
      <c r="A165" s="3" t="n">
        <v>37</v>
      </c>
      <c r="B165" t="n">
        <v>3</v>
      </c>
      <c r="C165" s="3" t="inlineStr">
        <is>
          <t>Mozzarella</t>
        </is>
      </c>
      <c r="D165" s="3" t="inlineStr">
        <is>
          <t>106.CHE39</t>
        </is>
      </c>
      <c r="E165" s="4" t="n">
        <v>100</v>
      </c>
      <c r="F165" s="5" t="n">
        <v>2.535</v>
      </c>
    </row>
    <row r="166">
      <c r="A166" s="3" t="n">
        <v>37</v>
      </c>
      <c r="B166" t="n">
        <v>4</v>
      </c>
      <c r="C166" s="3" t="inlineStr">
        <is>
          <t>Salami</t>
        </is>
      </c>
      <c r="D166" s="3" t="inlineStr">
        <is>
          <t>ING048</t>
        </is>
      </c>
      <c r="E166" s="4" t="n">
        <v>30</v>
      </c>
      <c r="F166" s="5" t="n"/>
    </row>
    <row r="167">
      <c r="A167" s="3" t="n">
        <v>38</v>
      </c>
      <c r="B167" t="n">
        <v>1</v>
      </c>
      <c r="C167" s="3" t="inlineStr">
        <is>
          <t>frozen fries</t>
        </is>
      </c>
      <c r="D167" s="3" t="inlineStr">
        <is>
          <t>103.VEG4</t>
        </is>
      </c>
      <c r="E167" s="4" t="n">
        <v>200</v>
      </c>
      <c r="F167" s="5" t="n">
        <v>0.456</v>
      </c>
    </row>
    <row r="168">
      <c r="A168" s="3" t="n">
        <v>39</v>
      </c>
      <c r="B168" t="n">
        <v>1</v>
      </c>
      <c r="C168" s="3" t="inlineStr">
        <is>
          <t>Frozen fries</t>
        </is>
      </c>
      <c r="D168" s="3" t="inlineStr">
        <is>
          <t>103.VEG4</t>
        </is>
      </c>
      <c r="E168" s="4" t="n">
        <v>200</v>
      </c>
      <c r="F168" s="5" t="n">
        <v>0.456</v>
      </c>
    </row>
    <row r="169">
      <c r="A169" s="3" t="n">
        <v>39</v>
      </c>
      <c r="B169" t="n">
        <v>2</v>
      </c>
      <c r="C169" s="3" t="inlineStr">
        <is>
          <t>Parmesan</t>
        </is>
      </c>
      <c r="D169" s="3" t="inlineStr">
        <is>
          <t>106.CHE43</t>
        </is>
      </c>
      <c r="E169" s="4" t="n">
        <v>30</v>
      </c>
      <c r="F169" s="5" t="n">
        <v>0.414</v>
      </c>
    </row>
    <row r="170">
      <c r="A170" s="3" t="n">
        <v>40</v>
      </c>
      <c r="B170" t="n">
        <v>1</v>
      </c>
      <c r="C170" s="3" t="inlineStr">
        <is>
          <t>New Potatoes</t>
        </is>
      </c>
      <c r="D170" s="3" t="inlineStr">
        <is>
          <t>ING013</t>
        </is>
      </c>
      <c r="E170" s="4" t="n">
        <v>200</v>
      </c>
      <c r="F170" s="5" t="n">
        <v>0</v>
      </c>
    </row>
    <row r="171">
      <c r="A171" s="3" t="n">
        <v>40</v>
      </c>
      <c r="B171" t="n">
        <v>2</v>
      </c>
      <c r="C171" s="3" t="inlineStr">
        <is>
          <t>Butter</t>
        </is>
      </c>
      <c r="D171" s="3" t="inlineStr">
        <is>
          <t>106.BUT10</t>
        </is>
      </c>
      <c r="E171" s="4" t="n">
        <v>10</v>
      </c>
      <c r="F171" s="5" t="n">
        <v>0.106</v>
      </c>
    </row>
    <row r="172">
      <c r="A172" s="3" t="n">
        <v>40</v>
      </c>
      <c r="B172" t="n">
        <v>3</v>
      </c>
      <c r="C172" s="3" t="inlineStr">
        <is>
          <t>Basil</t>
        </is>
      </c>
      <c r="D172" s="3" t="inlineStr">
        <is>
          <t>106.FRVEG5</t>
        </is>
      </c>
      <c r="E172" s="4" t="n">
        <v>2</v>
      </c>
      <c r="F172" s="5" t="n">
        <v>0.004</v>
      </c>
    </row>
    <row r="173">
      <c r="A173" s="3" t="n">
        <v>41</v>
      </c>
      <c r="B173" t="n">
        <v>1</v>
      </c>
      <c r="C173" s="3" t="inlineStr">
        <is>
          <t>Spinach</t>
        </is>
      </c>
      <c r="D173" s="3" t="inlineStr">
        <is>
          <t>106.FRVEG1</t>
        </is>
      </c>
      <c r="E173" s="4" t="n">
        <v>200</v>
      </c>
      <c r="F173" s="5" t="n">
        <v>0.54</v>
      </c>
    </row>
    <row r="174">
      <c r="A174" s="3" t="n">
        <v>41</v>
      </c>
      <c r="B174" t="n">
        <v>2</v>
      </c>
      <c r="C174" s="3" t="inlineStr">
        <is>
          <t>Horta</t>
        </is>
      </c>
      <c r="D174" s="3" t="inlineStr">
        <is>
          <t>106.FRVEG20</t>
        </is>
      </c>
      <c r="E174" s="4" t="n">
        <v>200</v>
      </c>
      <c r="F174" s="5" t="n">
        <v>0.42</v>
      </c>
    </row>
    <row r="175">
      <c r="A175" s="3" t="n">
        <v>42</v>
      </c>
      <c r="B175" t="n">
        <v>1</v>
      </c>
      <c r="C175" s="3" t="inlineStr">
        <is>
          <t>salad leaves</t>
        </is>
      </c>
      <c r="D175" s="3" t="inlineStr">
        <is>
          <t>106.FRVEG151</t>
        </is>
      </c>
      <c r="E175" s="4" t="n">
        <v>80</v>
      </c>
      <c r="F175" s="5" t="n">
        <v>0.88</v>
      </c>
    </row>
    <row r="176">
      <c r="A176" s="3" t="n">
        <v>42</v>
      </c>
      <c r="B176" t="n">
        <v>2</v>
      </c>
      <c r="C176" s="3" t="inlineStr">
        <is>
          <t>lemon dressing</t>
        </is>
      </c>
      <c r="D176" s="3" t="inlineStr">
        <is>
          <t>BCH012</t>
        </is>
      </c>
      <c r="E176" s="4" t="n">
        <v>15</v>
      </c>
      <c r="F176" s="5" t="n">
        <v>0.06897499999999999</v>
      </c>
    </row>
    <row r="177">
      <c r="A177" s="3" t="n">
        <v>43</v>
      </c>
      <c r="B177" t="n">
        <v>1</v>
      </c>
      <c r="C177" s="3" t="inlineStr">
        <is>
          <t>Broccoli</t>
        </is>
      </c>
      <c r="D177" s="3" t="inlineStr">
        <is>
          <t>ING013</t>
        </is>
      </c>
      <c r="E177" s="4" t="n">
        <v>150</v>
      </c>
      <c r="F177" s="5" t="n">
        <v>0.42</v>
      </c>
    </row>
    <row r="178">
      <c r="A178" s="3" t="n">
        <v>43</v>
      </c>
      <c r="B178" t="n">
        <v>2</v>
      </c>
      <c r="C178" s="3" t="inlineStr">
        <is>
          <t>Almonds</t>
        </is>
      </c>
      <c r="D178" s="3" t="inlineStr">
        <is>
          <t>107.NUT34</t>
        </is>
      </c>
      <c r="E178" s="4" t="n">
        <v>50</v>
      </c>
      <c r="F178" s="5" t="n">
        <v>0.648</v>
      </c>
    </row>
    <row r="179">
      <c r="A179" s="3" t="n">
        <v>43</v>
      </c>
      <c r="B179" t="n">
        <v>3</v>
      </c>
      <c r="C179" s="3" t="inlineStr">
        <is>
          <t>Evo</t>
        </is>
      </c>
      <c r="D179" s="3" t="inlineStr"/>
      <c r="E179" s="4" t="n"/>
      <c r="F179" s="5" t="n"/>
    </row>
    <row r="180">
      <c r="A180" s="3" t="n">
        <v>44</v>
      </c>
      <c r="B180" t="n">
        <v>1</v>
      </c>
      <c r="C180" s="3" t="inlineStr">
        <is>
          <t>Sourdough bread</t>
        </is>
      </c>
      <c r="D180" s="3" t="inlineStr">
        <is>
          <t>107.BRE21</t>
        </is>
      </c>
      <c r="E180" s="4" t="n">
        <v>80</v>
      </c>
      <c r="F180" s="5" t="n">
        <v>0.3432</v>
      </c>
    </row>
    <row r="181">
      <c r="A181" s="3" t="n">
        <v>44</v>
      </c>
      <c r="B181" t="n">
        <v>2</v>
      </c>
      <c r="C181" s="3" t="inlineStr">
        <is>
          <t>butter</t>
        </is>
      </c>
      <c r="D181" s="3" t="inlineStr">
        <is>
          <t>106.BUT10</t>
        </is>
      </c>
      <c r="E181" s="4" t="n">
        <v>10</v>
      </c>
      <c r="F181" s="5" t="n">
        <v>0.106</v>
      </c>
    </row>
    <row r="182">
      <c r="A182" s="3" t="n">
        <v>44</v>
      </c>
      <c r="B182" t="n">
        <v>3</v>
      </c>
      <c r="C182" s="3" t="inlineStr">
        <is>
          <t>Jam</t>
        </is>
      </c>
      <c r="D182" s="3" t="inlineStr">
        <is>
          <t>107.JAM7</t>
        </is>
      </c>
      <c r="E182" s="4" t="n">
        <v>10</v>
      </c>
      <c r="F182" s="5" t="n">
        <v>0.0263</v>
      </c>
    </row>
    <row r="183">
      <c r="A183" s="3" t="n">
        <v>45</v>
      </c>
      <c r="B183" t="n">
        <v>1</v>
      </c>
      <c r="C183" s="3" t="inlineStr">
        <is>
          <t>Watermelon</t>
        </is>
      </c>
      <c r="D183" s="3" t="inlineStr">
        <is>
          <t>106.FRFRU18</t>
        </is>
      </c>
      <c r="E183" s="4" t="n">
        <v>200</v>
      </c>
      <c r="F183" s="5" t="n">
        <v>0.13</v>
      </c>
    </row>
    <row r="184">
      <c r="A184" s="3" t="n">
        <v>46</v>
      </c>
      <c r="B184" t="n">
        <v>1</v>
      </c>
      <c r="C184" s="3" t="inlineStr">
        <is>
          <t>Granola batch</t>
        </is>
      </c>
      <c r="D184" s="3" t="inlineStr">
        <is>
          <t>BCH002</t>
        </is>
      </c>
      <c r="E184" s="4" t="n">
        <v>130</v>
      </c>
      <c r="F184" s="5" t="n">
        <v>0</v>
      </c>
    </row>
    <row r="185">
      <c r="A185" s="3" t="n">
        <v>46</v>
      </c>
      <c r="B185" t="n">
        <v>2</v>
      </c>
      <c r="C185" s="3" t="inlineStr">
        <is>
          <t>Greek yoghurt</t>
        </is>
      </c>
      <c r="D185" s="3" t="inlineStr">
        <is>
          <t>106.YOG6</t>
        </is>
      </c>
      <c r="E185" s="4" t="n">
        <v>100</v>
      </c>
      <c r="F185" s="5" t="n">
        <v>0.299</v>
      </c>
    </row>
    <row r="186">
      <c r="A186" s="3" t="n">
        <v>46</v>
      </c>
      <c r="B186" t="n">
        <v>3</v>
      </c>
      <c r="C186" s="3" t="inlineStr">
        <is>
          <t>mixed berries</t>
        </is>
      </c>
      <c r="D186" s="3" t="inlineStr">
        <is>
          <t>106.FRFRU48</t>
        </is>
      </c>
      <c r="E186" s="4" t="n">
        <v>50</v>
      </c>
      <c r="F186" s="5" t="n">
        <v>0.31</v>
      </c>
    </row>
    <row r="187">
      <c r="A187" s="3" t="n">
        <v>46</v>
      </c>
      <c r="B187" t="n">
        <v>4</v>
      </c>
      <c r="C187" s="3" t="inlineStr">
        <is>
          <t>Honey</t>
        </is>
      </c>
      <c r="D187" s="3" t="inlineStr">
        <is>
          <t>107.HON1</t>
        </is>
      </c>
      <c r="E187" s="4" t="n">
        <v>10</v>
      </c>
      <c r="F187" s="5" t="n">
        <v>0.0621</v>
      </c>
    </row>
    <row r="188">
      <c r="A188" s="3" t="n">
        <v>47</v>
      </c>
      <c r="B188" t="n">
        <v>1</v>
      </c>
      <c r="C188" s="3" t="inlineStr">
        <is>
          <t>pineapple</t>
        </is>
      </c>
      <c r="D188" s="3" t="inlineStr">
        <is>
          <t>106.FRFRU16</t>
        </is>
      </c>
      <c r="E188" s="4" t="n">
        <v>50</v>
      </c>
      <c r="F188" s="5" t="n">
        <v>0.1225</v>
      </c>
    </row>
    <row r="189">
      <c r="A189" s="3" t="n">
        <v>47</v>
      </c>
      <c r="B189" t="n">
        <v>2</v>
      </c>
      <c r="C189" s="3" t="inlineStr">
        <is>
          <t>Strawberry</t>
        </is>
      </c>
      <c r="D189" s="3" t="inlineStr">
        <is>
          <t>106.FRFRU35</t>
        </is>
      </c>
      <c r="E189" s="4" t="n">
        <v>50</v>
      </c>
      <c r="F189" s="5" t="n">
        <v>0.75</v>
      </c>
    </row>
    <row r="190">
      <c r="A190" s="3" t="n">
        <v>47</v>
      </c>
      <c r="B190" t="n">
        <v>3</v>
      </c>
      <c r="C190" s="3" t="inlineStr">
        <is>
          <t>Watermelon</t>
        </is>
      </c>
      <c r="D190" s="3" t="inlineStr">
        <is>
          <t>106.FRFRU18</t>
        </is>
      </c>
      <c r="E190" s="4" t="n">
        <v>40</v>
      </c>
      <c r="F190" s="5" t="n">
        <v>0.026</v>
      </c>
    </row>
    <row r="191">
      <c r="A191" s="3" t="n">
        <v>47</v>
      </c>
      <c r="B191" t="n">
        <v>4</v>
      </c>
      <c r="C191" s="3" t="inlineStr">
        <is>
          <t>Plum</t>
        </is>
      </c>
      <c r="D191" s="3" t="inlineStr">
        <is>
          <t>107.DRFO14</t>
        </is>
      </c>
      <c r="E191" s="4" t="n">
        <v>30</v>
      </c>
      <c r="F191" s="5" t="n">
        <v>0</v>
      </c>
    </row>
    <row r="192">
      <c r="A192" s="3" t="n">
        <v>47</v>
      </c>
      <c r="B192" t="n">
        <v>5</v>
      </c>
      <c r="C192" s="3" t="inlineStr">
        <is>
          <t>Kiwi</t>
        </is>
      </c>
      <c r="D192" s="3" t="inlineStr">
        <is>
          <t>106.FRFRU38</t>
        </is>
      </c>
      <c r="E192" s="4" t="n">
        <v>30</v>
      </c>
      <c r="F192" s="5" t="n">
        <v>0.135</v>
      </c>
    </row>
    <row r="193">
      <c r="A193" s="3" t="n">
        <v>48</v>
      </c>
      <c r="B193" t="n">
        <v>1</v>
      </c>
      <c r="C193" s="3" t="inlineStr">
        <is>
          <t>Greek yoghurt</t>
        </is>
      </c>
      <c r="D193" s="3" t="inlineStr">
        <is>
          <t>106.YOG6</t>
        </is>
      </c>
      <c r="E193" s="4" t="n">
        <v>100</v>
      </c>
      <c r="F193" s="5" t="n">
        <v>0.299</v>
      </c>
    </row>
    <row r="194">
      <c r="A194" s="3" t="n">
        <v>49</v>
      </c>
      <c r="B194" t="n">
        <v>1</v>
      </c>
      <c r="C194" s="3" t="inlineStr">
        <is>
          <t>Pancake Mix Batch</t>
        </is>
      </c>
      <c r="D194" s="3" t="inlineStr"/>
      <c r="E194" s="4" t="n">
        <v>160</v>
      </c>
      <c r="F194" s="5" t="n">
        <v>0.1465442909</v>
      </c>
    </row>
    <row r="195">
      <c r="A195" s="3" t="n">
        <v>50</v>
      </c>
      <c r="B195" t="n">
        <v>1</v>
      </c>
      <c r="C195" s="3" t="inlineStr">
        <is>
          <t>banana</t>
        </is>
      </c>
      <c r="D195" s="3" t="inlineStr">
        <is>
          <t>106.FRFRU22</t>
        </is>
      </c>
      <c r="E195" s="4" t="n">
        <v>50</v>
      </c>
      <c r="F195" s="5" t="n">
        <v>0.0925</v>
      </c>
    </row>
    <row r="196">
      <c r="A196" s="3" t="n">
        <v>50</v>
      </c>
      <c r="B196" t="n">
        <v>2</v>
      </c>
      <c r="C196" s="3" t="inlineStr">
        <is>
          <t>mixed berries</t>
        </is>
      </c>
      <c r="D196" s="3" t="inlineStr">
        <is>
          <t>106.FRFRU48</t>
        </is>
      </c>
      <c r="E196" s="4" t="n">
        <v>50</v>
      </c>
      <c r="F196" s="5" t="n">
        <v>0.31</v>
      </c>
    </row>
    <row r="197">
      <c r="A197" s="3" t="n">
        <v>50</v>
      </c>
      <c r="B197" t="n">
        <v>3</v>
      </c>
      <c r="C197" s="3" t="inlineStr">
        <is>
          <t>Pancake Mix Batch</t>
        </is>
      </c>
      <c r="D197" s="3" t="inlineStr">
        <is>
          <t>BCH029</t>
        </is>
      </c>
      <c r="E197" s="4" t="n">
        <v>160</v>
      </c>
      <c r="F197" s="5" t="n">
        <v>0.1465442909</v>
      </c>
    </row>
    <row r="198">
      <c r="A198" s="3" t="n">
        <v>51</v>
      </c>
      <c r="B198" t="n">
        <v>1</v>
      </c>
      <c r="C198" s="3" t="inlineStr">
        <is>
          <t>bacon</t>
        </is>
      </c>
      <c r="D198" s="3" t="inlineStr">
        <is>
          <t>106.COCU13</t>
        </is>
      </c>
      <c r="E198" s="4" t="n">
        <v>50</v>
      </c>
      <c r="F198" s="5" t="n">
        <v>0.3875</v>
      </c>
    </row>
    <row r="199">
      <c r="A199" s="3" t="n">
        <v>51</v>
      </c>
      <c r="B199" t="n">
        <v>2</v>
      </c>
      <c r="C199" s="3" t="inlineStr">
        <is>
          <t>maple syrup</t>
        </is>
      </c>
      <c r="D199" s="3" t="inlineStr">
        <is>
          <t>108.VARPA13</t>
        </is>
      </c>
      <c r="E199" s="4" t="n">
        <v>50</v>
      </c>
      <c r="F199" s="5" t="n">
        <v>0.8185</v>
      </c>
    </row>
    <row r="200">
      <c r="A200" s="3" t="n">
        <v>51</v>
      </c>
      <c r="B200" t="n">
        <v>3</v>
      </c>
      <c r="C200" s="3" t="inlineStr">
        <is>
          <t>Pancake Mix Batch</t>
        </is>
      </c>
      <c r="D200" s="3" t="inlineStr">
        <is>
          <t>BCH029</t>
        </is>
      </c>
      <c r="E200" s="4" t="n">
        <v>160</v>
      </c>
      <c r="F200" s="5" t="n">
        <v>0.1465442909</v>
      </c>
    </row>
    <row r="201">
      <c r="A201" s="3" t="n">
        <v>52</v>
      </c>
      <c r="B201" t="n">
        <v>1</v>
      </c>
      <c r="C201" s="3" t="inlineStr">
        <is>
          <t>Sourdough bread</t>
        </is>
      </c>
      <c r="D201" s="3" t="inlineStr">
        <is>
          <t>107.BRE21</t>
        </is>
      </c>
      <c r="E201" s="4" t="n">
        <v>80</v>
      </c>
      <c r="F201" s="5" t="n">
        <v>0.3432</v>
      </c>
    </row>
    <row r="202">
      <c r="A202" s="3" t="n">
        <v>52</v>
      </c>
      <c r="B202" t="n">
        <v>2</v>
      </c>
      <c r="C202" s="3" t="inlineStr">
        <is>
          <t>Avocado</t>
        </is>
      </c>
      <c r="D202" s="3" t="inlineStr">
        <is>
          <t>106.FRVEG67</t>
        </is>
      </c>
      <c r="E202" s="4" t="n">
        <v>70</v>
      </c>
      <c r="F202" s="5" t="n">
        <v>0.364</v>
      </c>
    </row>
    <row r="203">
      <c r="A203" s="3" t="n">
        <v>52</v>
      </c>
      <c r="B203" t="n">
        <v>3</v>
      </c>
      <c r="C203" s="3" t="inlineStr">
        <is>
          <t>Cherry Tomato</t>
        </is>
      </c>
      <c r="D203" s="3" t="inlineStr">
        <is>
          <t>106.FRVEG64</t>
        </is>
      </c>
      <c r="E203" s="4" t="n">
        <v>100</v>
      </c>
      <c r="F203" s="5" t="n">
        <v>0.45</v>
      </c>
    </row>
    <row r="204">
      <c r="A204" s="3" t="n">
        <v>52</v>
      </c>
      <c r="B204" t="n">
        <v>4</v>
      </c>
      <c r="C204" s="3" t="inlineStr">
        <is>
          <t>olive oil</t>
        </is>
      </c>
      <c r="D204" s="3" t="inlineStr">
        <is>
          <t>109.OIL1</t>
        </is>
      </c>
      <c r="E204" s="4" t="n">
        <v>5</v>
      </c>
      <c r="F204" s="5" t="n">
        <v>0.03</v>
      </c>
    </row>
    <row r="205">
      <c r="A205" s="3" t="n">
        <v>52</v>
      </c>
      <c r="B205" t="n">
        <v>5</v>
      </c>
      <c r="C205" s="3" t="inlineStr">
        <is>
          <t>eggs</t>
        </is>
      </c>
      <c r="D205" s="3" t="inlineStr">
        <is>
          <t>106.EGG2</t>
        </is>
      </c>
      <c r="E205" s="4" t="n">
        <v>130</v>
      </c>
      <c r="F205" s="5" t="n">
        <v>0.0273</v>
      </c>
    </row>
    <row r="206">
      <c r="A206" s="3" t="n">
        <v>52</v>
      </c>
      <c r="B206" t="n">
        <v>6</v>
      </c>
      <c r="C206" s="3" t="inlineStr">
        <is>
          <t>feta</t>
        </is>
      </c>
      <c r="D206" s="3" t="inlineStr">
        <is>
          <t>106.CHE14</t>
        </is>
      </c>
      <c r="E206" s="4" t="n">
        <v>20</v>
      </c>
      <c r="F206" s="5" t="n">
        <v>0.2014</v>
      </c>
    </row>
    <row r="207">
      <c r="A207" s="3" t="n">
        <v>52</v>
      </c>
      <c r="B207" t="n">
        <v>7</v>
      </c>
      <c r="C207" s="3" t="inlineStr">
        <is>
          <t>Fresh Parsley</t>
        </is>
      </c>
      <c r="D207" s="3" t="inlineStr">
        <is>
          <t>106.FRVEG42</t>
        </is>
      </c>
      <c r="E207" s="4" t="n">
        <v>5</v>
      </c>
      <c r="F207" s="5" t="n">
        <v>0.0045</v>
      </c>
    </row>
    <row r="208">
      <c r="A208" s="3" t="n">
        <v>52</v>
      </c>
      <c r="B208" t="n">
        <v>8</v>
      </c>
      <c r="C208" s="3" t="inlineStr">
        <is>
          <t>Lemon juice</t>
        </is>
      </c>
      <c r="D208" s="3" t="inlineStr">
        <is>
          <t>109.LEM1</t>
        </is>
      </c>
      <c r="E208" s="4" t="n">
        <v>5</v>
      </c>
      <c r="F208" s="5" t="n">
        <v>0</v>
      </c>
    </row>
    <row r="209">
      <c r="A209" s="3" t="n">
        <v>53</v>
      </c>
      <c r="B209" t="n">
        <v>1</v>
      </c>
      <c r="C209" s="3" t="inlineStr">
        <is>
          <t>English muffin</t>
        </is>
      </c>
      <c r="D209" s="3" t="inlineStr">
        <is>
          <t>107.BRE23</t>
        </is>
      </c>
      <c r="E209" s="4" t="n">
        <v>60</v>
      </c>
      <c r="F209" s="5" t="n">
        <v>0.045</v>
      </c>
    </row>
    <row r="210">
      <c r="A210" s="3" t="n">
        <v>53</v>
      </c>
      <c r="B210" t="n">
        <v>2</v>
      </c>
      <c r="C210" s="3" t="inlineStr">
        <is>
          <t>Eggs</t>
        </is>
      </c>
      <c r="D210" s="3" t="inlineStr">
        <is>
          <t>106.EGG2</t>
        </is>
      </c>
      <c r="E210" s="4" t="n">
        <v>130</v>
      </c>
      <c r="F210" s="5" t="n">
        <v>0.0273</v>
      </c>
    </row>
    <row r="211">
      <c r="A211" s="3" t="n">
        <v>53</v>
      </c>
      <c r="B211" t="n">
        <v>3</v>
      </c>
      <c r="C211" s="3" t="inlineStr">
        <is>
          <t>ham</t>
        </is>
      </c>
      <c r="D211" s="3" t="inlineStr">
        <is>
          <t>106.COCU22</t>
        </is>
      </c>
      <c r="E211" s="4" t="n">
        <v>75</v>
      </c>
      <c r="F211" s="5" t="n">
        <v>0.3075</v>
      </c>
    </row>
    <row r="212">
      <c r="A212" s="3" t="n">
        <v>53</v>
      </c>
      <c r="B212" t="n">
        <v>4</v>
      </c>
      <c r="C212" s="3" t="inlineStr">
        <is>
          <t>hollandaise sauce</t>
        </is>
      </c>
      <c r="D212" s="3" t="inlineStr">
        <is>
          <t>BCH030</t>
        </is>
      </c>
      <c r="E212" s="4" t="n">
        <v>50</v>
      </c>
      <c r="F212" s="5" t="n">
        <v>0.362435</v>
      </c>
    </row>
    <row r="213">
      <c r="A213" s="3" t="n">
        <v>53</v>
      </c>
      <c r="B213" t="n">
        <v>5</v>
      </c>
      <c r="C213" s="3" t="inlineStr">
        <is>
          <t>butter</t>
        </is>
      </c>
      <c r="D213" s="3" t="inlineStr">
        <is>
          <t>106.BUT10</t>
        </is>
      </c>
      <c r="E213" s="4" t="n">
        <v>5</v>
      </c>
      <c r="F213" s="5" t="n">
        <v>0.053</v>
      </c>
    </row>
    <row r="214">
      <c r="A214" s="3" t="n">
        <v>53</v>
      </c>
      <c r="B214" t="n">
        <v>6</v>
      </c>
      <c r="C214" s="3" t="inlineStr">
        <is>
          <t>chives</t>
        </is>
      </c>
      <c r="D214" s="3" t="inlineStr">
        <is>
          <t>106.FRVEG79</t>
        </is>
      </c>
      <c r="E214" s="4" t="n">
        <v>2</v>
      </c>
      <c r="F214" s="5" t="n">
        <v>0.0066</v>
      </c>
    </row>
    <row r="215">
      <c r="A215" s="3" t="n">
        <v>54</v>
      </c>
      <c r="B215" t="n">
        <v>1</v>
      </c>
      <c r="C215" s="3" t="inlineStr">
        <is>
          <t>English muffin</t>
        </is>
      </c>
      <c r="D215" s="3" t="inlineStr">
        <is>
          <t>107.BRE23</t>
        </is>
      </c>
      <c r="E215" s="4" t="n">
        <v>60</v>
      </c>
      <c r="F215" s="5" t="n">
        <v>0.045</v>
      </c>
    </row>
    <row r="216">
      <c r="A216" s="3" t="n">
        <v>54</v>
      </c>
      <c r="B216" t="n">
        <v>2</v>
      </c>
      <c r="C216" s="3" t="inlineStr">
        <is>
          <t>Eggs</t>
        </is>
      </c>
      <c r="D216" s="3" t="inlineStr">
        <is>
          <t>106.EGG2</t>
        </is>
      </c>
      <c r="E216" s="4" t="n">
        <v>130</v>
      </c>
      <c r="F216" s="5" t="n">
        <v>0.0273</v>
      </c>
    </row>
    <row r="217">
      <c r="A217" s="3" t="n">
        <v>54</v>
      </c>
      <c r="B217" t="n">
        <v>3</v>
      </c>
      <c r="C217" s="3" t="inlineStr">
        <is>
          <t>Smoked salmon</t>
        </is>
      </c>
      <c r="D217" s="3" t="inlineStr">
        <is>
          <t>102.SEA16</t>
        </is>
      </c>
      <c r="E217" s="4" t="n">
        <v>70</v>
      </c>
      <c r="F217" s="5" t="n">
        <v>1.666</v>
      </c>
    </row>
    <row r="218">
      <c r="A218" s="3" t="n">
        <v>54</v>
      </c>
      <c r="B218" t="n">
        <v>4</v>
      </c>
      <c r="C218" s="3" t="inlineStr">
        <is>
          <t>hollandaise sauce</t>
        </is>
      </c>
      <c r="D218" s="3" t="inlineStr">
        <is>
          <t>BCH030</t>
        </is>
      </c>
      <c r="E218" s="4" t="n">
        <v>50</v>
      </c>
      <c r="F218" s="5" t="n">
        <v>0.362435</v>
      </c>
    </row>
    <row r="219">
      <c r="A219" s="3" t="n">
        <v>54</v>
      </c>
      <c r="B219" t="n">
        <v>5</v>
      </c>
      <c r="C219" s="3" t="inlineStr">
        <is>
          <t>butter</t>
        </is>
      </c>
      <c r="D219" s="3" t="inlineStr">
        <is>
          <t>106.BUT10</t>
        </is>
      </c>
      <c r="E219" s="4" t="n">
        <v>5</v>
      </c>
      <c r="F219" s="5" t="n">
        <v>0.053</v>
      </c>
    </row>
    <row r="220">
      <c r="A220" s="3" t="n">
        <v>54</v>
      </c>
      <c r="B220" t="n">
        <v>6</v>
      </c>
      <c r="C220" s="3" t="inlineStr">
        <is>
          <t>chives</t>
        </is>
      </c>
      <c r="D220" s="3" t="inlineStr">
        <is>
          <t>106.FRVEG79</t>
        </is>
      </c>
      <c r="E220" s="4" t="n">
        <v>2</v>
      </c>
      <c r="F220" s="5" t="n">
        <v>0.0066</v>
      </c>
    </row>
    <row r="221">
      <c r="A221" s="3" t="n">
        <v>54</v>
      </c>
      <c r="B221" t="n">
        <v>7</v>
      </c>
      <c r="C221" s="3" t="inlineStr">
        <is>
          <t>Lemons</t>
        </is>
      </c>
      <c r="D221" s="3" t="inlineStr">
        <is>
          <t>106.FRFRU34</t>
        </is>
      </c>
      <c r="E221" s="4" t="n">
        <v>15</v>
      </c>
      <c r="F221" s="5" t="n">
        <v>0.0405</v>
      </c>
    </row>
    <row r="222">
      <c r="A222" s="3" t="n">
        <v>55</v>
      </c>
      <c r="B222" t="n">
        <v>1</v>
      </c>
      <c r="C222" s="3" t="inlineStr">
        <is>
          <t>English muffin</t>
        </is>
      </c>
      <c r="D222" s="3" t="inlineStr">
        <is>
          <t>107.BRE23</t>
        </is>
      </c>
      <c r="E222" s="4" t="n">
        <v>60</v>
      </c>
      <c r="F222" s="5" t="n">
        <v>0.045</v>
      </c>
    </row>
    <row r="223">
      <c r="A223" s="3" t="n">
        <v>55</v>
      </c>
      <c r="B223" t="n">
        <v>2</v>
      </c>
      <c r="C223" s="3" t="inlineStr">
        <is>
          <t>Eggs</t>
        </is>
      </c>
      <c r="D223" s="3" t="inlineStr">
        <is>
          <t>106.EGG2</t>
        </is>
      </c>
      <c r="E223" s="4" t="n">
        <v>130</v>
      </c>
      <c r="F223" s="5" t="n">
        <v>0.0273</v>
      </c>
    </row>
    <row r="224">
      <c r="A224" s="3" t="n">
        <v>55</v>
      </c>
      <c r="B224" t="n">
        <v>3</v>
      </c>
      <c r="C224" s="3" t="inlineStr">
        <is>
          <t>Spinach</t>
        </is>
      </c>
      <c r="D224" s="3" t="inlineStr">
        <is>
          <t>106.FRVEG1</t>
        </is>
      </c>
      <c r="E224" s="4" t="n">
        <v>100</v>
      </c>
      <c r="F224" s="5" t="n">
        <v>0.27</v>
      </c>
    </row>
    <row r="225">
      <c r="A225" s="3" t="n">
        <v>55</v>
      </c>
      <c r="B225" t="n">
        <v>4</v>
      </c>
      <c r="C225" s="3" t="inlineStr">
        <is>
          <t>hollandaise sauce</t>
        </is>
      </c>
      <c r="D225" s="3" t="inlineStr">
        <is>
          <t>BCH030</t>
        </is>
      </c>
      <c r="E225" s="4" t="n">
        <v>50</v>
      </c>
      <c r="F225" s="5" t="n">
        <v>0.362435</v>
      </c>
    </row>
    <row r="226">
      <c r="A226" s="3" t="n">
        <v>55</v>
      </c>
      <c r="B226" t="n">
        <v>5</v>
      </c>
      <c r="C226" s="3" t="inlineStr">
        <is>
          <t>butter</t>
        </is>
      </c>
      <c r="D226" s="3" t="inlineStr">
        <is>
          <t>106.BUT10</t>
        </is>
      </c>
      <c r="E226" s="4" t="n">
        <v>5</v>
      </c>
      <c r="F226" s="5" t="n">
        <v>0.053</v>
      </c>
    </row>
    <row r="227">
      <c r="A227" s="3" t="n">
        <v>56</v>
      </c>
      <c r="B227" t="n">
        <v>1</v>
      </c>
      <c r="C227" s="3" t="inlineStr">
        <is>
          <t>Sourdough bread</t>
        </is>
      </c>
      <c r="D227" s="3" t="inlineStr">
        <is>
          <t>107.BRE21</t>
        </is>
      </c>
      <c r="E227" s="4" t="n">
        <v>80</v>
      </c>
      <c r="F227" s="5" t="n">
        <v>0.3432</v>
      </c>
    </row>
    <row r="228">
      <c r="A228" s="3" t="n">
        <v>56</v>
      </c>
      <c r="B228" t="n">
        <v>2</v>
      </c>
      <c r="C228" s="3" t="inlineStr">
        <is>
          <t>Eggs</t>
        </is>
      </c>
      <c r="D228" s="3" t="inlineStr">
        <is>
          <t>106.EGG2</t>
        </is>
      </c>
      <c r="E228" s="4" t="n">
        <v>130</v>
      </c>
      <c r="F228" s="5" t="n">
        <v>0.0273</v>
      </c>
    </row>
    <row r="229">
      <c r="A229" s="3" t="n">
        <v>56</v>
      </c>
      <c r="B229" t="n">
        <v>3</v>
      </c>
      <c r="C229" s="3" t="inlineStr">
        <is>
          <t>mushrooms</t>
        </is>
      </c>
      <c r="D229" s="3" t="inlineStr">
        <is>
          <t>106.FRVEG123</t>
        </is>
      </c>
      <c r="E229" s="4" t="n">
        <v>160</v>
      </c>
      <c r="F229" s="5" t="n">
        <v>0.656</v>
      </c>
    </row>
    <row r="230">
      <c r="A230" s="3" t="n">
        <v>56</v>
      </c>
      <c r="B230" t="n">
        <v>4</v>
      </c>
      <c r="C230" s="3" t="inlineStr">
        <is>
          <t>butter</t>
        </is>
      </c>
      <c r="D230" s="3" t="inlineStr">
        <is>
          <t>106.BUT10</t>
        </is>
      </c>
      <c r="E230" s="4" t="n">
        <v>10</v>
      </c>
      <c r="F230" s="5" t="n">
        <v>0.106</v>
      </c>
    </row>
    <row r="231">
      <c r="A231" s="3" t="n">
        <v>56</v>
      </c>
      <c r="B231" t="n">
        <v>5</v>
      </c>
      <c r="C231" s="3" t="inlineStr">
        <is>
          <t>Garlic</t>
        </is>
      </c>
      <c r="D231" s="3" t="inlineStr">
        <is>
          <t>106.FRVEG10</t>
        </is>
      </c>
      <c r="E231" s="4" t="n">
        <v>5</v>
      </c>
      <c r="F231" s="5" t="n">
        <v>0.037</v>
      </c>
    </row>
    <row r="232">
      <c r="A232" s="3" t="n">
        <v>56</v>
      </c>
      <c r="B232" t="n">
        <v>6</v>
      </c>
      <c r="C232" s="3" t="inlineStr">
        <is>
          <t>white miso paste</t>
        </is>
      </c>
      <c r="D232" s="3" t="inlineStr">
        <is>
          <t>107.SPIC24</t>
        </is>
      </c>
      <c r="E232" s="4" t="n">
        <v>10</v>
      </c>
      <c r="F232" s="5" t="n">
        <v>0.0603</v>
      </c>
    </row>
    <row r="233">
      <c r="A233" s="3" t="n">
        <v>56</v>
      </c>
      <c r="B233" t="n">
        <v>7</v>
      </c>
      <c r="C233" s="3" t="inlineStr">
        <is>
          <t>Soy sauce</t>
        </is>
      </c>
      <c r="D233" s="3" t="inlineStr">
        <is>
          <t>107.ASPR17</t>
        </is>
      </c>
      <c r="E233" s="4" t="n">
        <v>5</v>
      </c>
      <c r="F233" s="5" t="n">
        <v>0.05175</v>
      </c>
    </row>
    <row r="234">
      <c r="A234" s="3" t="n">
        <v>56</v>
      </c>
      <c r="B234" t="n">
        <v>8</v>
      </c>
      <c r="C234" s="3" t="inlineStr">
        <is>
          <t>Mirin</t>
        </is>
      </c>
      <c r="D234" s="3" t="inlineStr">
        <is>
          <t>107.SAU11</t>
        </is>
      </c>
      <c r="E234" s="4" t="n">
        <v>5</v>
      </c>
      <c r="F234" s="5" t="n">
        <v>0.07630000000000001</v>
      </c>
    </row>
    <row r="235">
      <c r="A235" s="3" t="n">
        <v>56</v>
      </c>
      <c r="B235" t="n">
        <v>9</v>
      </c>
      <c r="C235" s="3" t="inlineStr">
        <is>
          <t>Chives</t>
        </is>
      </c>
      <c r="D235" s="3" t="inlineStr">
        <is>
          <t>106.FRVEG79</t>
        </is>
      </c>
      <c r="E235" s="4" t="n">
        <v>5</v>
      </c>
      <c r="F235" s="5" t="n">
        <v>0.0165</v>
      </c>
    </row>
    <row r="236">
      <c r="A236" s="3" t="n">
        <v>56</v>
      </c>
      <c r="B236" t="n">
        <v>10</v>
      </c>
      <c r="C236" s="3" t="inlineStr">
        <is>
          <t>white sesame seeds</t>
        </is>
      </c>
      <c r="D236" s="3" t="inlineStr">
        <is>
          <t>107.NUT33</t>
        </is>
      </c>
      <c r="E236" s="4" t="n">
        <v>2</v>
      </c>
      <c r="F236" s="5" t="n">
        <v>0.0152</v>
      </c>
    </row>
    <row r="237">
      <c r="A237" s="3" t="n">
        <v>57</v>
      </c>
      <c r="B237" t="n">
        <v>1</v>
      </c>
      <c r="C237" s="3" t="inlineStr">
        <is>
          <t>mushrooms</t>
        </is>
      </c>
      <c r="D237" s="3" t="inlineStr">
        <is>
          <t>106.FRVEG123</t>
        </is>
      </c>
      <c r="E237" s="4" t="n">
        <v>100</v>
      </c>
      <c r="F237" s="5" t="n">
        <v>0.41</v>
      </c>
    </row>
    <row r="238">
      <c r="A238" s="3" t="n">
        <v>57</v>
      </c>
      <c r="B238" t="n">
        <v>2</v>
      </c>
      <c r="C238" s="3" t="inlineStr">
        <is>
          <t>spinach</t>
        </is>
      </c>
      <c r="D238" s="3" t="inlineStr">
        <is>
          <t>106.FRVEG1</t>
        </is>
      </c>
      <c r="E238" s="4" t="n">
        <v>50</v>
      </c>
      <c r="F238" s="5" t="n">
        <v>0.135</v>
      </c>
    </row>
    <row r="239">
      <c r="A239" s="3" t="n">
        <v>57</v>
      </c>
      <c r="B239" t="n">
        <v>3</v>
      </c>
      <c r="C239" s="3" t="inlineStr">
        <is>
          <t>eggs</t>
        </is>
      </c>
      <c r="D239" s="3" t="inlineStr">
        <is>
          <t>106.EGG2</t>
        </is>
      </c>
      <c r="E239" s="4" t="n">
        <v>130</v>
      </c>
      <c r="F239" s="5" t="n">
        <v>0.0273</v>
      </c>
    </row>
    <row r="240">
      <c r="A240" s="3" t="n">
        <v>57</v>
      </c>
      <c r="B240" t="n">
        <v>4</v>
      </c>
      <c r="C240" s="3" t="inlineStr">
        <is>
          <t>avocado</t>
        </is>
      </c>
      <c r="D240" s="3" t="inlineStr">
        <is>
          <t>106.FRVEG67</t>
        </is>
      </c>
      <c r="E240" s="4" t="n">
        <v>70</v>
      </c>
      <c r="F240" s="5" t="n">
        <v>0.364</v>
      </c>
    </row>
    <row r="241">
      <c r="A241" s="3" t="n">
        <v>57</v>
      </c>
      <c r="B241" t="n">
        <v>5</v>
      </c>
      <c r="C241" s="3" t="inlineStr">
        <is>
          <t>Sourdough bread</t>
        </is>
      </c>
      <c r="D241" s="3" t="inlineStr">
        <is>
          <t>107.BRE21</t>
        </is>
      </c>
      <c r="E241" s="4" t="n">
        <v>80</v>
      </c>
      <c r="F241" s="5" t="n">
        <v>0.3432</v>
      </c>
    </row>
    <row r="242">
      <c r="A242" s="3" t="n">
        <v>57</v>
      </c>
      <c r="B242" t="n">
        <v>6</v>
      </c>
      <c r="C242" s="3" t="inlineStr">
        <is>
          <t>olive oil</t>
        </is>
      </c>
      <c r="D242" s="3" t="inlineStr">
        <is>
          <t>109.OIL1</t>
        </is>
      </c>
      <c r="E242" s="4" t="n">
        <v>10</v>
      </c>
      <c r="F242" s="5" t="n">
        <v>0.06</v>
      </c>
    </row>
    <row r="243">
      <c r="A243" s="3" t="n">
        <v>57</v>
      </c>
      <c r="B243" t="n">
        <v>7</v>
      </c>
      <c r="C243" s="3" t="inlineStr">
        <is>
          <t>Vegan hash browns</t>
        </is>
      </c>
      <c r="D243" s="3" t="inlineStr">
        <is>
          <t>BCH031</t>
        </is>
      </c>
      <c r="E243" s="4" t="n">
        <v>70</v>
      </c>
      <c r="F243" s="5" t="n">
        <v>0.1227954</v>
      </c>
    </row>
    <row r="244">
      <c r="A244" s="3" t="n">
        <v>57</v>
      </c>
      <c r="B244" t="n">
        <v>8</v>
      </c>
      <c r="C244" s="3" t="inlineStr">
        <is>
          <t>lemons</t>
        </is>
      </c>
      <c r="D244" s="3" t="inlineStr">
        <is>
          <t>106.FRFRU34</t>
        </is>
      </c>
      <c r="E244" s="4" t="n">
        <v>25</v>
      </c>
      <c r="F244" s="5" t="n">
        <v>0.0675</v>
      </c>
    </row>
    <row r="245">
      <c r="A245" s="3" t="n">
        <v>57</v>
      </c>
      <c r="B245" t="n">
        <v>9</v>
      </c>
      <c r="C245" s="3" t="inlineStr">
        <is>
          <t>chilli flakes</t>
        </is>
      </c>
      <c r="D245" s="3" t="inlineStr">
        <is>
          <t>107.SPIC54</t>
        </is>
      </c>
      <c r="E245" s="4" t="n">
        <v>2</v>
      </c>
      <c r="F245" s="5" t="n">
        <v>0</v>
      </c>
    </row>
    <row r="246">
      <c r="A246" s="3" t="n">
        <v>58</v>
      </c>
      <c r="B246" t="n">
        <v>1</v>
      </c>
      <c r="C246" s="3" t="inlineStr">
        <is>
          <t>sourdough BREAD</t>
        </is>
      </c>
      <c r="D246" s="3" t="inlineStr">
        <is>
          <t>107.BRE21</t>
        </is>
      </c>
      <c r="E246" s="4" t="n">
        <v>80</v>
      </c>
      <c r="F246" s="5" t="n">
        <v>0.3432</v>
      </c>
    </row>
    <row r="247">
      <c r="A247" s="3" t="n">
        <v>58</v>
      </c>
      <c r="B247" t="n">
        <v>2</v>
      </c>
      <c r="C247" s="3" t="inlineStr">
        <is>
          <t>eggs</t>
        </is>
      </c>
      <c r="D247" s="3" t="inlineStr">
        <is>
          <t>106.EGG2</t>
        </is>
      </c>
      <c r="E247" s="4" t="n">
        <v>130</v>
      </c>
      <c r="F247" s="5" t="n">
        <v>0.0273</v>
      </c>
    </row>
    <row r="248">
      <c r="A248" s="3" t="n">
        <v>59</v>
      </c>
      <c r="B248" t="n">
        <v>1</v>
      </c>
      <c r="C248" s="3" t="inlineStr">
        <is>
          <t>brioche bun</t>
        </is>
      </c>
      <c r="D248" s="3" t="inlineStr">
        <is>
          <t>107.BRE33</t>
        </is>
      </c>
      <c r="E248" s="4" t="n">
        <v>80</v>
      </c>
      <c r="F248" s="5" t="n">
        <v>0.0488</v>
      </c>
    </row>
    <row r="249">
      <c r="A249" s="3" t="n">
        <v>59</v>
      </c>
      <c r="B249" t="n">
        <v>2</v>
      </c>
      <c r="C249" s="3" t="inlineStr">
        <is>
          <t>eggs</t>
        </is>
      </c>
      <c r="D249" s="3" t="inlineStr">
        <is>
          <t>106.EGG2</t>
        </is>
      </c>
      <c r="E249" s="4" t="n">
        <v>65</v>
      </c>
      <c r="F249" s="5" t="n">
        <v>0.01365</v>
      </c>
    </row>
    <row r="250">
      <c r="A250" s="3" t="n">
        <v>59</v>
      </c>
      <c r="B250" t="n">
        <v>3</v>
      </c>
      <c r="C250" s="3" t="inlineStr">
        <is>
          <t>bacon</t>
        </is>
      </c>
      <c r="D250" s="3" t="inlineStr">
        <is>
          <t>106.COCU13</t>
        </is>
      </c>
      <c r="E250" s="4" t="n">
        <v>75</v>
      </c>
      <c r="F250" s="5" t="n">
        <v>0.58125</v>
      </c>
    </row>
    <row r="251">
      <c r="A251" s="3" t="n">
        <v>59</v>
      </c>
      <c r="B251" t="n">
        <v>4</v>
      </c>
      <c r="C251" s="3" t="inlineStr">
        <is>
          <t>Vegan hash browns</t>
        </is>
      </c>
      <c r="D251" s="3" t="inlineStr">
        <is>
          <t>BCH031</t>
        </is>
      </c>
      <c r="E251" s="4" t="n">
        <v>110</v>
      </c>
      <c r="F251" s="5" t="n">
        <v>0.1929642</v>
      </c>
    </row>
    <row r="252">
      <c r="A252" s="3" t="n">
        <v>59</v>
      </c>
      <c r="B252" t="n">
        <v>5</v>
      </c>
      <c r="C252" s="3" t="inlineStr">
        <is>
          <t>Burger relish</t>
        </is>
      </c>
      <c r="D252" s="3" t="inlineStr">
        <is>
          <t>BCH027</t>
        </is>
      </c>
      <c r="E252" s="4" t="n">
        <v>20</v>
      </c>
      <c r="F252" s="5" t="n">
        <v>0</v>
      </c>
    </row>
    <row r="253">
      <c r="A253" s="3" t="n">
        <v>59</v>
      </c>
      <c r="B253" t="n">
        <v>6</v>
      </c>
      <c r="C253" s="3" t="inlineStr">
        <is>
          <t>salt</t>
        </is>
      </c>
      <c r="D253" s="3" t="inlineStr">
        <is>
          <t>107.SPIC13</t>
        </is>
      </c>
      <c r="E253" s="4" t="n">
        <v>4</v>
      </c>
      <c r="F253" s="5" t="n">
        <v>0.00312</v>
      </c>
    </row>
    <row r="254">
      <c r="A254" s="3" t="n">
        <v>59</v>
      </c>
      <c r="B254" t="n">
        <v>7</v>
      </c>
      <c r="C254" s="3" t="inlineStr">
        <is>
          <t>pepper</t>
        </is>
      </c>
      <c r="D254" s="3" t="inlineStr">
        <is>
          <t>107.SPIC4</t>
        </is>
      </c>
      <c r="E254" s="4" t="n">
        <v>2</v>
      </c>
      <c r="F254" s="5" t="n">
        <v>0.04508</v>
      </c>
    </row>
    <row r="255">
      <c r="A255" s="3" t="n">
        <v>60</v>
      </c>
      <c r="B255" t="n">
        <v>1</v>
      </c>
      <c r="C255" s="3" t="inlineStr">
        <is>
          <t>eggs</t>
        </is>
      </c>
      <c r="D255" s="3" t="inlineStr">
        <is>
          <t>106.EGG2</t>
        </is>
      </c>
      <c r="E255" s="4" t="n">
        <v>195</v>
      </c>
      <c r="F255" s="5" t="n">
        <v>0.04095</v>
      </c>
    </row>
    <row r="256">
      <c r="A256" s="3" t="n">
        <v>60</v>
      </c>
      <c r="B256" t="n">
        <v>2</v>
      </c>
      <c r="C256" s="3" t="inlineStr">
        <is>
          <t>butter</t>
        </is>
      </c>
      <c r="D256" s="3" t="inlineStr">
        <is>
          <t>106.BUT10</t>
        </is>
      </c>
      <c r="E256" s="4" t="n">
        <v>10</v>
      </c>
      <c r="F256" s="5" t="n">
        <v>0.106</v>
      </c>
    </row>
    <row r="257">
      <c r="A257" s="3" t="n">
        <v>60</v>
      </c>
      <c r="B257" t="n">
        <v>3</v>
      </c>
      <c r="C257" s="3" t="inlineStr">
        <is>
          <t>Caramalised onions</t>
        </is>
      </c>
      <c r="D257" s="3" t="inlineStr">
        <is>
          <t>BCH015</t>
        </is>
      </c>
      <c r="E257" s="4" t="n">
        <v>30</v>
      </c>
      <c r="F257" s="5" t="n">
        <v>0.05919</v>
      </c>
    </row>
    <row r="258">
      <c r="A258" s="3" t="n">
        <v>60</v>
      </c>
      <c r="B258" t="n">
        <v>4</v>
      </c>
      <c r="C258" s="3" t="inlineStr">
        <is>
          <t>goats cheese</t>
        </is>
      </c>
      <c r="D258" s="3" t="inlineStr">
        <is>
          <t>106.CHE22</t>
        </is>
      </c>
      <c r="E258" s="4" t="n">
        <v>25</v>
      </c>
      <c r="F258" s="5" t="n">
        <v>0.42375</v>
      </c>
    </row>
    <row r="259">
      <c r="A259" s="3" t="n">
        <v>60</v>
      </c>
      <c r="B259" t="n">
        <v>5</v>
      </c>
      <c r="C259" s="3" t="inlineStr">
        <is>
          <t>Chives</t>
        </is>
      </c>
      <c r="D259" s="3" t="inlineStr">
        <is>
          <t>106.FRVEG79</t>
        </is>
      </c>
      <c r="E259" s="4" t="n">
        <v>5</v>
      </c>
      <c r="F259" s="5" t="n">
        <v>0.0165</v>
      </c>
    </row>
    <row r="260">
      <c r="A260" s="3" t="n">
        <v>61</v>
      </c>
      <c r="B260" t="n">
        <v>1</v>
      </c>
      <c r="C260" s="3" t="inlineStr">
        <is>
          <t>Greek yoghurt</t>
        </is>
      </c>
      <c r="D260" s="3" t="inlineStr">
        <is>
          <t>106.YOG6</t>
        </is>
      </c>
      <c r="E260" s="4" t="n">
        <v>150</v>
      </c>
      <c r="F260" s="5" t="n">
        <v>0.4485</v>
      </c>
    </row>
    <row r="261">
      <c r="A261" s="3" t="n">
        <v>61</v>
      </c>
      <c r="B261" t="n">
        <v>2</v>
      </c>
      <c r="C261" s="3" t="inlineStr">
        <is>
          <t>Honey</t>
        </is>
      </c>
      <c r="D261" s="3" t="inlineStr">
        <is>
          <t>107.HON1</t>
        </is>
      </c>
      <c r="E261" s="4" t="n">
        <v>50</v>
      </c>
      <c r="F261" s="5" t="n">
        <v>0.3105</v>
      </c>
    </row>
    <row r="262">
      <c r="A262" s="3" t="n">
        <v>62</v>
      </c>
      <c r="B262" t="n">
        <v>1</v>
      </c>
      <c r="C262" s="3" t="inlineStr">
        <is>
          <t>lemon posset batch</t>
        </is>
      </c>
      <c r="D262" s="3" t="inlineStr">
        <is>
          <t>BCH032</t>
        </is>
      </c>
      <c r="E262" s="4" t="n">
        <v>125</v>
      </c>
      <c r="F262" s="5" t="n">
        <v>0.7204375</v>
      </c>
    </row>
    <row r="263">
      <c r="A263" s="3" t="n">
        <v>63</v>
      </c>
      <c r="B263" t="n">
        <v>1</v>
      </c>
      <c r="C263" s="3" t="inlineStr">
        <is>
          <t>Tiramasu batch</t>
        </is>
      </c>
      <c r="D263" s="3" t="inlineStr">
        <is>
          <t>BCH040</t>
        </is>
      </c>
      <c r="E263" s="4" t="n">
        <v>160</v>
      </c>
      <c r="F263" s="5" t="n">
        <v>1.515151331</v>
      </c>
    </row>
    <row r="264">
      <c r="A264" s="3" t="n">
        <v>64</v>
      </c>
      <c r="B264" t="n">
        <v>1</v>
      </c>
      <c r="C264" s="3" t="inlineStr">
        <is>
          <t>Chocolate brownie batch</t>
        </is>
      </c>
      <c r="D264" s="3" t="inlineStr">
        <is>
          <t>BCH039</t>
        </is>
      </c>
      <c r="E264" s="4" t="n">
        <v>125</v>
      </c>
      <c r="F264" s="5" t="n">
        <v>1.170041667</v>
      </c>
    </row>
    <row r="265">
      <c r="A265" s="3" t="n">
        <v>64</v>
      </c>
      <c r="B265" t="n">
        <v>2</v>
      </c>
      <c r="C265" s="3" t="inlineStr">
        <is>
          <t>Whipped cream</t>
        </is>
      </c>
      <c r="D265" s="3" t="inlineStr">
        <is>
          <t>106.MILK7</t>
        </is>
      </c>
      <c r="E265" s="4" t="n">
        <v>50</v>
      </c>
      <c r="F265" s="5" t="n">
        <v>0</v>
      </c>
    </row>
    <row r="266">
      <c r="A266" s="3" t="n">
        <v>67</v>
      </c>
      <c r="B266" t="n">
        <v>1</v>
      </c>
      <c r="C266" s="3" t="inlineStr">
        <is>
          <t>PIzza Dough batch</t>
        </is>
      </c>
      <c r="D266" s="3" t="inlineStr">
        <is>
          <t>BCH042</t>
        </is>
      </c>
      <c r="E266" s="4" t="n">
        <v>100</v>
      </c>
      <c r="F266" s="5" t="n">
        <v>0.0607596</v>
      </c>
    </row>
    <row r="267">
      <c r="A267" s="3" t="n">
        <v>68</v>
      </c>
      <c r="B267" t="n">
        <v>1</v>
      </c>
      <c r="C267" s="3" t="inlineStr">
        <is>
          <t>Muhammara batch</t>
        </is>
      </c>
      <c r="D267" s="3" t="inlineStr">
        <is>
          <t>BCH018</t>
        </is>
      </c>
      <c r="E267" s="4" t="n">
        <v>150</v>
      </c>
      <c r="F267" s="5" t="n">
        <v>1.087825</v>
      </c>
    </row>
    <row r="268">
      <c r="A268" s="3" t="n">
        <v>68</v>
      </c>
      <c r="B268" t="n">
        <v>2</v>
      </c>
      <c r="C268" s="3" t="inlineStr">
        <is>
          <t>PIzza Dough batch</t>
        </is>
      </c>
      <c r="D268" s="3" t="inlineStr">
        <is>
          <t>BCH042</t>
        </is>
      </c>
      <c r="E268" s="4" t="n">
        <v>100</v>
      </c>
      <c r="F268" s="5" t="n">
        <v>0.0607596</v>
      </c>
    </row>
    <row r="269">
      <c r="A269" s="3" t="n">
        <v>68</v>
      </c>
      <c r="B269" t="n">
        <v>3</v>
      </c>
      <c r="C269" s="3" t="inlineStr">
        <is>
          <t>olive oil</t>
        </is>
      </c>
      <c r="D269" s="3" t="inlineStr">
        <is>
          <t>109.OIL1</t>
        </is>
      </c>
      <c r="E269" s="4" t="n">
        <v>10</v>
      </c>
      <c r="F269" s="5" t="n">
        <v>0.06</v>
      </c>
    </row>
    <row r="270">
      <c r="A270" s="3" t="n">
        <v>69</v>
      </c>
      <c r="B270" t="n">
        <v>1</v>
      </c>
      <c r="C270" s="3" t="inlineStr">
        <is>
          <t>babaganoush batch</t>
        </is>
      </c>
      <c r="D270" s="3" t="inlineStr">
        <is>
          <t>BCH019</t>
        </is>
      </c>
      <c r="E270" s="4" t="n">
        <v>150</v>
      </c>
      <c r="F270" s="5" t="n">
        <v>0.5893933333</v>
      </c>
    </row>
    <row r="271">
      <c r="A271" s="3" t="n">
        <v>69</v>
      </c>
      <c r="B271" t="n">
        <v>2</v>
      </c>
      <c r="C271" s="3" t="inlineStr">
        <is>
          <t>PIzza Dough batch</t>
        </is>
      </c>
      <c r="D271" s="3" t="inlineStr">
        <is>
          <t>BCH042</t>
        </is>
      </c>
      <c r="E271" s="4" t="n">
        <v>100</v>
      </c>
      <c r="F271" s="5" t="n">
        <v>0.0607596</v>
      </c>
    </row>
    <row r="272">
      <c r="A272" s="3" t="n">
        <v>69</v>
      </c>
      <c r="B272" t="n">
        <v>3</v>
      </c>
      <c r="C272" s="3" t="inlineStr">
        <is>
          <t>olive oil</t>
        </is>
      </c>
      <c r="D272" s="3" t="inlineStr">
        <is>
          <t>109.OIL1</t>
        </is>
      </c>
      <c r="E272" s="4" t="n">
        <v>10</v>
      </c>
      <c r="F272" s="5" t="n">
        <v>0.06</v>
      </c>
    </row>
    <row r="273">
      <c r="A273" s="3" t="n">
        <v>70</v>
      </c>
      <c r="B273" t="n">
        <v>1</v>
      </c>
      <c r="C273" s="3" t="inlineStr">
        <is>
          <t>Tzatsiki batch</t>
        </is>
      </c>
      <c r="D273" s="3" t="inlineStr">
        <is>
          <t>BCH020</t>
        </is>
      </c>
      <c r="E273" s="4" t="n">
        <v>150</v>
      </c>
      <c r="F273" s="5" t="n">
        <v>0.4928571429</v>
      </c>
    </row>
    <row r="274">
      <c r="A274" s="3" t="n">
        <v>70</v>
      </c>
      <c r="B274" t="n">
        <v>2</v>
      </c>
      <c r="C274" s="3" t="inlineStr">
        <is>
          <t>PIzza Dough batch</t>
        </is>
      </c>
      <c r="D274" s="3" t="inlineStr">
        <is>
          <t>BCH042</t>
        </is>
      </c>
      <c r="E274" s="4" t="n">
        <v>100</v>
      </c>
      <c r="F274" s="5" t="n">
        <v>0.0607596</v>
      </c>
    </row>
    <row r="275">
      <c r="A275" s="3" t="n">
        <v>70</v>
      </c>
      <c r="B275" t="n">
        <v>3</v>
      </c>
      <c r="C275" s="3" t="inlineStr">
        <is>
          <t>olive oil</t>
        </is>
      </c>
      <c r="D275" s="3" t="inlineStr">
        <is>
          <t>109.OIL1</t>
        </is>
      </c>
      <c r="E275" s="4" t="n">
        <v>10</v>
      </c>
      <c r="F275" s="5" t="n">
        <v>0.06</v>
      </c>
    </row>
    <row r="276">
      <c r="A276" s="3" t="n">
        <v>71</v>
      </c>
      <c r="B276" t="n">
        <v>1</v>
      </c>
      <c r="C276" s="3" t="inlineStr">
        <is>
          <t>Beetroot hummus batch</t>
        </is>
      </c>
      <c r="D276" s="3" t="inlineStr">
        <is>
          <t>BCH041</t>
        </is>
      </c>
      <c r="E276" s="4" t="n">
        <v>150</v>
      </c>
      <c r="F276" s="5" t="n">
        <v>0.5090509449</v>
      </c>
    </row>
    <row r="277">
      <c r="A277" s="3" t="n">
        <v>71</v>
      </c>
      <c r="B277" t="n">
        <v>2</v>
      </c>
      <c r="C277" s="3" t="inlineStr">
        <is>
          <t>PIzza Dough batch</t>
        </is>
      </c>
      <c r="D277" s="3" t="inlineStr">
        <is>
          <t>BCH042</t>
        </is>
      </c>
      <c r="E277" s="4" t="n">
        <v>100</v>
      </c>
      <c r="F277" s="5" t="n">
        <v>0.0607596</v>
      </c>
    </row>
    <row r="278">
      <c r="A278" s="3" t="n">
        <v>71</v>
      </c>
      <c r="B278" t="n">
        <v>3</v>
      </c>
      <c r="C278" s="3" t="inlineStr">
        <is>
          <t>olive oil</t>
        </is>
      </c>
      <c r="D278" s="3" t="inlineStr">
        <is>
          <t>109.OIL1</t>
        </is>
      </c>
      <c r="E278" s="4" t="n">
        <v>10</v>
      </c>
      <c r="F278" s="5" t="n">
        <v>0.06</v>
      </c>
    </row>
    <row r="279">
      <c r="A279" s="3" t="n">
        <v>72</v>
      </c>
      <c r="B279" t="n">
        <v>1</v>
      </c>
      <c r="C279" s="3" t="inlineStr">
        <is>
          <t>PIzza Dough batch</t>
        </is>
      </c>
      <c r="D279" s="3" t="inlineStr">
        <is>
          <t>BCH042</t>
        </is>
      </c>
      <c r="E279" s="4" t="n">
        <v>300</v>
      </c>
      <c r="F279" s="5" t="n">
        <v>0.1822788</v>
      </c>
    </row>
    <row r="280">
      <c r="A280" s="3" t="n">
        <v>72</v>
      </c>
      <c r="B280" t="n">
        <v>2</v>
      </c>
      <c r="C280" s="3" t="inlineStr">
        <is>
          <t>Muhammara batch</t>
        </is>
      </c>
      <c r="D280" s="3" t="inlineStr">
        <is>
          <t>BCH018</t>
        </is>
      </c>
      <c r="E280" s="4" t="n">
        <v>150</v>
      </c>
      <c r="F280" s="5" t="n">
        <v>1.087825</v>
      </c>
    </row>
    <row r="281">
      <c r="A281" s="3" t="n">
        <v>72</v>
      </c>
      <c r="B281" t="n">
        <v>3</v>
      </c>
      <c r="C281" s="3" t="inlineStr">
        <is>
          <t>babaganoush batch</t>
        </is>
      </c>
      <c r="D281" s="3" t="inlineStr">
        <is>
          <t>BCH019</t>
        </is>
      </c>
      <c r="E281" s="4" t="n">
        <v>150</v>
      </c>
      <c r="F281" s="5" t="n">
        <v>0.5893933333</v>
      </c>
    </row>
    <row r="282">
      <c r="A282" s="3" t="n">
        <v>72</v>
      </c>
      <c r="B282" t="n">
        <v>4</v>
      </c>
      <c r="C282" s="3" t="inlineStr">
        <is>
          <t>Tzatsiki batch</t>
        </is>
      </c>
      <c r="D282" s="3" t="inlineStr">
        <is>
          <t>BCH020</t>
        </is>
      </c>
      <c r="E282" s="4" t="n">
        <v>150</v>
      </c>
      <c r="F282" s="5" t="n">
        <v>0.4928571429</v>
      </c>
    </row>
    <row r="283">
      <c r="A283" s="3" t="n">
        <v>73</v>
      </c>
      <c r="B283" t="n">
        <v>1</v>
      </c>
      <c r="C283" s="3" t="inlineStr">
        <is>
          <t>Labneh batch</t>
        </is>
      </c>
      <c r="D283" s="3" t="inlineStr">
        <is>
          <t>BCH034</t>
        </is>
      </c>
      <c r="E283" s="4" t="n">
        <v>150</v>
      </c>
      <c r="F283" s="5" t="n">
        <v>0.65607</v>
      </c>
    </row>
    <row r="284">
      <c r="A284" s="3" t="n">
        <v>73</v>
      </c>
      <c r="B284" t="n">
        <v>2</v>
      </c>
      <c r="C284" s="3" t="inlineStr">
        <is>
          <t>PIzza Dough batch</t>
        </is>
      </c>
      <c r="D284" s="3" t="inlineStr">
        <is>
          <t>BCH042</t>
        </is>
      </c>
      <c r="E284" s="4" t="n">
        <v>80</v>
      </c>
      <c r="F284" s="5" t="n">
        <v>0.04860768</v>
      </c>
    </row>
    <row r="285">
      <c r="A285" s="3" t="n">
        <v>73</v>
      </c>
      <c r="B285" t="n">
        <v>3</v>
      </c>
      <c r="C285" s="3" t="inlineStr">
        <is>
          <t>Vine tomatoes</t>
        </is>
      </c>
      <c r="D285" s="3" t="inlineStr">
        <is>
          <t>106.FRVEG153</t>
        </is>
      </c>
      <c r="E285" s="4" t="n">
        <v>80</v>
      </c>
      <c r="F285" s="5" t="n">
        <v>0.36</v>
      </c>
    </row>
    <row r="286">
      <c r="A286" s="3" t="n">
        <v>73</v>
      </c>
      <c r="B286" t="n">
        <v>4</v>
      </c>
      <c r="C286" s="3" t="inlineStr">
        <is>
          <t>olive oil</t>
        </is>
      </c>
      <c r="D286" s="3" t="inlineStr">
        <is>
          <t>109.OIL1</t>
        </is>
      </c>
      <c r="E286" s="4" t="n">
        <v>10</v>
      </c>
      <c r="F286" s="5" t="n">
        <v>0.06</v>
      </c>
    </row>
    <row r="287">
      <c r="A287" s="3" t="n">
        <v>74</v>
      </c>
      <c r="B287" t="n">
        <v>1</v>
      </c>
      <c r="C287" s="3" t="inlineStr">
        <is>
          <t>Braised octopus legs</t>
        </is>
      </c>
      <c r="D287" s="3" t="inlineStr">
        <is>
          <t>BCH021</t>
        </is>
      </c>
      <c r="E287" s="4" t="n">
        <v>150</v>
      </c>
      <c r="F287" s="5" t="n">
        <v>2.9335875</v>
      </c>
    </row>
    <row r="288">
      <c r="A288" s="3" t="n">
        <v>74</v>
      </c>
      <c r="B288" t="n">
        <v>2</v>
      </c>
      <c r="C288" s="3" t="inlineStr">
        <is>
          <t>lemons</t>
        </is>
      </c>
      <c r="D288" s="3" t="inlineStr">
        <is>
          <t>106.FRFRU34</t>
        </is>
      </c>
      <c r="E288" s="4" t="n">
        <v>50</v>
      </c>
      <c r="F288" s="5" t="n">
        <v>0.135</v>
      </c>
    </row>
    <row r="289">
      <c r="A289" s="3" t="n">
        <v>74</v>
      </c>
      <c r="B289" t="n">
        <v>3</v>
      </c>
      <c r="C289" s="3" t="inlineStr">
        <is>
          <t>olive oil</t>
        </is>
      </c>
      <c r="D289" s="3" t="inlineStr">
        <is>
          <t>109.OIL1</t>
        </is>
      </c>
      <c r="E289" s="4" t="n">
        <v>10</v>
      </c>
      <c r="F289" s="5" t="n">
        <v>0.06</v>
      </c>
    </row>
    <row r="290">
      <c r="A290" s="3" t="n">
        <v>75</v>
      </c>
      <c r="B290" t="n">
        <v>1</v>
      </c>
      <c r="C290" s="3" t="inlineStr">
        <is>
          <t>King Prawns</t>
        </is>
      </c>
      <c r="D290" s="3" t="inlineStr">
        <is>
          <t>102.SEA37</t>
        </is>
      </c>
      <c r="E290" s="4" t="n">
        <v>150</v>
      </c>
      <c r="F290" s="5" t="n">
        <v>2.4</v>
      </c>
    </row>
    <row r="291">
      <c r="A291" s="3" t="n">
        <v>75</v>
      </c>
      <c r="B291" t="n">
        <v>2</v>
      </c>
      <c r="C291" s="3" t="inlineStr">
        <is>
          <t>garlic</t>
        </is>
      </c>
      <c r="D291" s="3" t="inlineStr">
        <is>
          <t>106.FRVEG10</t>
        </is>
      </c>
      <c r="E291" s="4" t="n">
        <v>5</v>
      </c>
      <c r="F291" s="5" t="n">
        <v>0.037</v>
      </c>
    </row>
    <row r="292">
      <c r="A292" s="3" t="n">
        <v>75</v>
      </c>
      <c r="B292" t="n">
        <v>3</v>
      </c>
      <c r="C292" s="3" t="inlineStr">
        <is>
          <t>olive oil</t>
        </is>
      </c>
      <c r="D292" s="3" t="inlineStr">
        <is>
          <t>109.OIL1</t>
        </is>
      </c>
      <c r="E292" s="4" t="n">
        <v>10</v>
      </c>
      <c r="F292" s="5" t="n">
        <v>0.06</v>
      </c>
    </row>
    <row r="293">
      <c r="A293" s="3" t="n">
        <v>76</v>
      </c>
      <c r="B293" t="n">
        <v>1</v>
      </c>
      <c r="C293" s="3" t="inlineStr">
        <is>
          <t>cucumber soup batch</t>
        </is>
      </c>
      <c r="D293" s="3" t="inlineStr">
        <is>
          <t>BCH022</t>
        </is>
      </c>
      <c r="E293" s="4" t="n">
        <v>150</v>
      </c>
      <c r="F293" s="5" t="n">
        <v>0.527775</v>
      </c>
    </row>
    <row r="294">
      <c r="A294" s="3" t="n">
        <v>76</v>
      </c>
      <c r="B294" t="n">
        <v>2</v>
      </c>
      <c r="C294" s="3" t="inlineStr">
        <is>
          <t>PIzza Dough batch</t>
        </is>
      </c>
      <c r="D294" s="3" t="inlineStr">
        <is>
          <t>BCH042</t>
        </is>
      </c>
      <c r="E294" s="4" t="n">
        <v>100</v>
      </c>
      <c r="F294" s="5" t="n">
        <v>0.0607596</v>
      </c>
    </row>
    <row r="295">
      <c r="A295" s="3" t="n">
        <v>76</v>
      </c>
      <c r="B295" t="n">
        <v>3</v>
      </c>
      <c r="C295" s="3" t="inlineStr">
        <is>
          <t>olive oil</t>
        </is>
      </c>
      <c r="D295" s="3" t="inlineStr">
        <is>
          <t>109.OIL1</t>
        </is>
      </c>
      <c r="E295" s="4" t="n">
        <v>5</v>
      </c>
      <c r="F295" s="5" t="n">
        <v>0.03</v>
      </c>
    </row>
    <row r="296">
      <c r="A296" s="3" t="n">
        <v>77</v>
      </c>
      <c r="B296" t="n">
        <v>1</v>
      </c>
      <c r="C296" s="3" t="inlineStr">
        <is>
          <t>Cous-cous batch</t>
        </is>
      </c>
      <c r="D296" s="3" t="inlineStr">
        <is>
          <t>BCH023</t>
        </is>
      </c>
      <c r="E296" s="4" t="n">
        <v>200</v>
      </c>
      <c r="F296" s="5" t="n">
        <v>0.5709186667</v>
      </c>
    </row>
    <row r="297">
      <c r="A297" s="3" t="n">
        <v>77</v>
      </c>
      <c r="B297" t="n">
        <v>2</v>
      </c>
      <c r="C297" s="3" t="inlineStr">
        <is>
          <t>feta</t>
        </is>
      </c>
      <c r="D297" s="3" t="inlineStr">
        <is>
          <t>106.CHE14</t>
        </is>
      </c>
      <c r="E297" s="4" t="n">
        <v>50</v>
      </c>
      <c r="F297" s="5" t="n">
        <v>0.5034999999999999</v>
      </c>
    </row>
    <row r="298">
      <c r="A298" s="3" t="n">
        <v>78</v>
      </c>
      <c r="B298" t="n">
        <v>1</v>
      </c>
      <c r="C298" s="3" t="inlineStr">
        <is>
          <t>Beetroot and goats cheese batch</t>
        </is>
      </c>
      <c r="D298" s="3" t="inlineStr">
        <is>
          <t>BCH037</t>
        </is>
      </c>
      <c r="E298" s="4" t="n">
        <v>250</v>
      </c>
      <c r="F298" s="5" t="n">
        <v>1.63705</v>
      </c>
    </row>
    <row r="299">
      <c r="A299" s="3" t="n">
        <v>79</v>
      </c>
      <c r="B299" t="n">
        <v>1</v>
      </c>
      <c r="C299" s="3" t="inlineStr">
        <is>
          <t>Avocado</t>
        </is>
      </c>
      <c r="D299" s="3" t="inlineStr">
        <is>
          <t>106.FRVEG67</t>
        </is>
      </c>
      <c r="E299" s="4" t="n">
        <v>50</v>
      </c>
      <c r="F299" s="5" t="n">
        <v>0.26</v>
      </c>
    </row>
    <row r="300">
      <c r="A300" s="3" t="n">
        <v>79</v>
      </c>
      <c r="B300" t="n">
        <v>2</v>
      </c>
      <c r="C300" s="3" t="inlineStr">
        <is>
          <t>Rocket</t>
        </is>
      </c>
      <c r="D300" s="3" t="inlineStr">
        <is>
          <t>106.FRVEG156</t>
        </is>
      </c>
      <c r="E300" s="4" t="n">
        <v>50</v>
      </c>
      <c r="F300" s="5" t="n">
        <v>0.375</v>
      </c>
    </row>
    <row r="301">
      <c r="A301" s="3" t="n">
        <v>79</v>
      </c>
      <c r="B301" t="n">
        <v>3</v>
      </c>
      <c r="C301" s="3" t="inlineStr">
        <is>
          <t>Pumpkin</t>
        </is>
      </c>
      <c r="D301" s="3" t="inlineStr">
        <is>
          <t>106.FRVEG132</t>
        </is>
      </c>
      <c r="E301" s="4" t="n">
        <v>85</v>
      </c>
      <c r="F301" s="5" t="n">
        <v>0.2975</v>
      </c>
    </row>
    <row r="302">
      <c r="A302" s="3" t="n">
        <v>79</v>
      </c>
      <c r="B302" t="n">
        <v>4</v>
      </c>
      <c r="C302" s="3" t="inlineStr">
        <is>
          <t>cucumber</t>
        </is>
      </c>
      <c r="D302" s="3" t="inlineStr">
        <is>
          <t>106.FRVEG84</t>
        </is>
      </c>
      <c r="E302" s="4" t="n">
        <v>35</v>
      </c>
      <c r="F302" s="5" t="n">
        <v>0.0245</v>
      </c>
    </row>
    <row r="303">
      <c r="A303" s="3" t="n">
        <v>79</v>
      </c>
      <c r="B303" t="n">
        <v>5</v>
      </c>
      <c r="C303" s="3" t="inlineStr">
        <is>
          <t>Red Onion</t>
        </is>
      </c>
      <c r="D303" s="3" t="inlineStr">
        <is>
          <t>106.FRVEG18</t>
        </is>
      </c>
      <c r="E303" s="4" t="n">
        <v>13</v>
      </c>
      <c r="F303" s="5" t="n">
        <v>0.01625</v>
      </c>
    </row>
    <row r="304">
      <c r="A304" s="3" t="n">
        <v>79</v>
      </c>
      <c r="B304" t="n">
        <v>6</v>
      </c>
      <c r="C304" s="3" t="inlineStr">
        <is>
          <t>spiced pumpkin dressing</t>
        </is>
      </c>
      <c r="D304" s="3" t="inlineStr">
        <is>
          <t>BCH025</t>
        </is>
      </c>
      <c r="E304" s="4" t="n">
        <v>16</v>
      </c>
      <c r="F304" s="5" t="n">
        <v>0.1086739394</v>
      </c>
    </row>
    <row r="305">
      <c r="A305" s="3" t="n">
        <v>80</v>
      </c>
      <c r="B305" t="n">
        <v>1</v>
      </c>
      <c r="C305" s="3" t="inlineStr">
        <is>
          <t>haloumi</t>
        </is>
      </c>
      <c r="D305" s="3" t="inlineStr">
        <is>
          <t>106.CHE11</t>
        </is>
      </c>
      <c r="E305" s="4" t="n">
        <v>100</v>
      </c>
      <c r="F305" s="5" t="n">
        <v>1.275</v>
      </c>
    </row>
    <row r="306">
      <c r="A306" s="3" t="n">
        <v>80</v>
      </c>
      <c r="B306" t="n">
        <v>2</v>
      </c>
      <c r="C306" s="3" t="inlineStr"/>
      <c r="D306" s="3" t="inlineStr"/>
      <c r="E306" s="4" t="n">
        <v>50</v>
      </c>
      <c r="F306" s="5" t="n"/>
    </row>
    <row r="307">
      <c r="A307" s="3" t="n">
        <v>81</v>
      </c>
      <c r="B307" t="n">
        <v>1</v>
      </c>
      <c r="C307" s="3" t="inlineStr">
        <is>
          <t>Falafel batch</t>
        </is>
      </c>
      <c r="D307" s="3" t="inlineStr">
        <is>
          <t>BCH045</t>
        </is>
      </c>
      <c r="E307" s="4" t="n">
        <v>100</v>
      </c>
      <c r="F307" s="5" t="n">
        <v>0</v>
      </c>
    </row>
    <row r="308">
      <c r="A308" s="3" t="n">
        <v>82</v>
      </c>
      <c r="B308" t="n">
        <v>1</v>
      </c>
      <c r="C308" s="3" t="inlineStr">
        <is>
          <t>Chicken breast</t>
        </is>
      </c>
      <c r="D308" s="3" t="inlineStr">
        <is>
          <t>101.CHI9</t>
        </is>
      </c>
      <c r="E308" s="4" t="n">
        <v>100</v>
      </c>
      <c r="F308" s="5" t="n">
        <v>0.68</v>
      </c>
    </row>
    <row r="309">
      <c r="A309" s="3" t="n">
        <v>84</v>
      </c>
      <c r="B309" t="n">
        <v>1</v>
      </c>
      <c r="C309" s="3" t="inlineStr">
        <is>
          <t>Chicken breast</t>
        </is>
      </c>
      <c r="D309" s="3" t="inlineStr">
        <is>
          <t>101.CHI9</t>
        </is>
      </c>
      <c r="E309" s="4" t="n">
        <v>200</v>
      </c>
      <c r="F309" s="5" t="n">
        <v>1.36</v>
      </c>
    </row>
    <row r="310">
      <c r="A310" s="3" t="n">
        <v>84</v>
      </c>
      <c r="B310" t="n">
        <v>2</v>
      </c>
      <c r="C310" s="3" t="inlineStr">
        <is>
          <t>Olive oil</t>
        </is>
      </c>
      <c r="D310" s="3" t="inlineStr">
        <is>
          <t>109.OIL1</t>
        </is>
      </c>
      <c r="E310" s="4" t="n">
        <v>5</v>
      </c>
      <c r="F310" s="5" t="n">
        <v>0.03</v>
      </c>
    </row>
    <row r="311">
      <c r="A311" s="3" t="n">
        <v>85</v>
      </c>
      <c r="B311" t="n">
        <v>1</v>
      </c>
      <c r="C311" s="3" t="inlineStr">
        <is>
          <t>Boneless Lamb leg</t>
        </is>
      </c>
      <c r="D311" s="3" t="inlineStr">
        <is>
          <t>101.LAM2</t>
        </is>
      </c>
      <c r="E311" s="4" t="n">
        <v>250</v>
      </c>
      <c r="F311" s="5" t="n">
        <v>3.95</v>
      </c>
    </row>
    <row r="312">
      <c r="A312" s="3" t="n">
        <v>85</v>
      </c>
      <c r="B312" t="n">
        <v>2</v>
      </c>
      <c r="C312" s="3" t="inlineStr">
        <is>
          <t>Olive oil</t>
        </is>
      </c>
      <c r="D312" s="3" t="inlineStr">
        <is>
          <t>109.OIL1</t>
        </is>
      </c>
      <c r="E312" s="4" t="n">
        <v>5</v>
      </c>
      <c r="F312" s="5" t="n">
        <v>0.03</v>
      </c>
    </row>
    <row r="313">
      <c r="A313" s="3" t="n">
        <v>85</v>
      </c>
      <c r="B313" t="n">
        <v>3</v>
      </c>
      <c r="C313" s="3" t="inlineStr">
        <is>
          <t>garlic</t>
        </is>
      </c>
      <c r="D313" s="3" t="inlineStr">
        <is>
          <t>106.FRVEG10</t>
        </is>
      </c>
      <c r="E313" s="4" t="n">
        <v>5</v>
      </c>
      <c r="F313" s="5" t="n">
        <v>0.037</v>
      </c>
    </row>
    <row r="314">
      <c r="A314" s="3" t="n">
        <v>85</v>
      </c>
      <c r="B314" t="n">
        <v>4</v>
      </c>
      <c r="C314" s="3" t="inlineStr">
        <is>
          <t>oregano dried</t>
        </is>
      </c>
      <c r="D314" s="3" t="inlineStr">
        <is>
          <t>106.FRVEG26</t>
        </is>
      </c>
      <c r="E314" s="4" t="n">
        <v>2</v>
      </c>
      <c r="F314" s="5" t="n">
        <v>0.0072</v>
      </c>
    </row>
    <row r="315">
      <c r="A315" s="3" t="n">
        <v>86</v>
      </c>
      <c r="B315" t="n">
        <v>1</v>
      </c>
      <c r="C315" s="3" t="inlineStr">
        <is>
          <t>Sea bass</t>
        </is>
      </c>
      <c r="D315" s="3" t="inlineStr">
        <is>
          <t>102.SEA12</t>
        </is>
      </c>
      <c r="E315" s="4" t="n">
        <v>450</v>
      </c>
      <c r="F315" s="5" t="n">
        <v>5.85</v>
      </c>
    </row>
    <row r="316">
      <c r="A316" s="3" t="n">
        <v>86</v>
      </c>
      <c r="B316" t="n">
        <v>2</v>
      </c>
      <c r="C316" s="3" t="inlineStr">
        <is>
          <t>Olive oil</t>
        </is>
      </c>
      <c r="D316" s="3" t="inlineStr">
        <is>
          <t>109.OIL1</t>
        </is>
      </c>
      <c r="E316" s="4" t="n">
        <v>5</v>
      </c>
      <c r="F316" s="5" t="n">
        <v>0.03</v>
      </c>
    </row>
    <row r="317">
      <c r="A317" s="3" t="n">
        <v>86</v>
      </c>
      <c r="B317" t="n">
        <v>3</v>
      </c>
      <c r="C317" s="3" t="inlineStr">
        <is>
          <t>lemons</t>
        </is>
      </c>
      <c r="D317" s="3" t="inlineStr">
        <is>
          <t>106.FRFRU34</t>
        </is>
      </c>
      <c r="E317" s="4" t="n">
        <v>15</v>
      </c>
      <c r="F317" s="5" t="n">
        <v>0.0405</v>
      </c>
    </row>
    <row r="318">
      <c r="A318" s="3" t="n">
        <v>87</v>
      </c>
      <c r="B318" t="n">
        <v>1</v>
      </c>
      <c r="C318" s="3" t="inlineStr">
        <is>
          <t>Tuna Loin</t>
        </is>
      </c>
      <c r="D318" s="3" t="inlineStr">
        <is>
          <t>102.FIFI1</t>
        </is>
      </c>
      <c r="E318" s="4" t="n">
        <v>200</v>
      </c>
      <c r="F318" s="5" t="n">
        <v>4.4</v>
      </c>
    </row>
    <row r="319">
      <c r="A319" s="3" t="n">
        <v>87</v>
      </c>
      <c r="B319" t="n">
        <v>2</v>
      </c>
      <c r="C319" s="3" t="inlineStr">
        <is>
          <t>Olive oil</t>
        </is>
      </c>
      <c r="D319" s="3" t="inlineStr">
        <is>
          <t>109.OIL1</t>
        </is>
      </c>
      <c r="E319" s="4" t="n">
        <v>5</v>
      </c>
      <c r="F319" s="5" t="n">
        <v>0.03</v>
      </c>
    </row>
    <row r="320">
      <c r="A320" s="3" t="n">
        <v>87</v>
      </c>
      <c r="B320" t="n">
        <v>3</v>
      </c>
      <c r="C320" s="3" t="inlineStr">
        <is>
          <t>lemons</t>
        </is>
      </c>
      <c r="D320" s="3" t="inlineStr">
        <is>
          <t>106.FRFRU34</t>
        </is>
      </c>
      <c r="E320" s="4" t="n">
        <v>10</v>
      </c>
      <c r="F320" s="5" t="n">
        <v>0.027</v>
      </c>
    </row>
    <row r="321">
      <c r="A321" s="3" t="n">
        <v>88</v>
      </c>
      <c r="B321" t="n">
        <v>1</v>
      </c>
      <c r="C321" s="3" t="inlineStr">
        <is>
          <t>Cauliflower</t>
        </is>
      </c>
      <c r="D321" s="3" t="inlineStr">
        <is>
          <t>103.VEG18</t>
        </is>
      </c>
      <c r="E321" s="4" t="n">
        <v>250</v>
      </c>
      <c r="F321" s="5" t="n">
        <v>0.575</v>
      </c>
    </row>
    <row r="322">
      <c r="A322" s="3" t="n">
        <v>88</v>
      </c>
      <c r="B322" t="n">
        <v>2</v>
      </c>
      <c r="C322" s="3" t="inlineStr">
        <is>
          <t>harissa paste</t>
        </is>
      </c>
      <c r="D322" s="3" t="inlineStr">
        <is>
          <t>107.ASPR50</t>
        </is>
      </c>
      <c r="E322" s="4" t="n">
        <v>15</v>
      </c>
      <c r="F322" s="5" t="n">
        <v>0</v>
      </c>
    </row>
    <row r="323">
      <c r="A323" s="3" t="n">
        <v>88</v>
      </c>
      <c r="B323" t="n">
        <v>3</v>
      </c>
      <c r="C323" s="3" t="inlineStr">
        <is>
          <t>olive oil</t>
        </is>
      </c>
      <c r="D323" s="3" t="inlineStr">
        <is>
          <t>109.OIL1</t>
        </is>
      </c>
      <c r="E323" s="4" t="n">
        <v>5</v>
      </c>
      <c r="F323" s="5" t="n">
        <v>0.03</v>
      </c>
    </row>
    <row r="324">
      <c r="A324" s="3" t="n">
        <v>89</v>
      </c>
      <c r="B324" t="n">
        <v>1</v>
      </c>
      <c r="C324" s="3" t="inlineStr">
        <is>
          <t>Burger patti batch</t>
        </is>
      </c>
      <c r="D324" s="3" t="inlineStr">
        <is>
          <t>BCH026</t>
        </is>
      </c>
      <c r="E324" s="4" t="n">
        <v>180</v>
      </c>
      <c r="F324" s="5" t="n">
        <v>0</v>
      </c>
    </row>
    <row r="325">
      <c r="A325" s="3" t="n">
        <v>89</v>
      </c>
      <c r="B325" t="n">
        <v>2</v>
      </c>
      <c r="C325" s="3" t="inlineStr">
        <is>
          <t>brioche bun</t>
        </is>
      </c>
      <c r="D325" s="3" t="inlineStr">
        <is>
          <t>107.BRE33</t>
        </is>
      </c>
      <c r="E325" s="4" t="n">
        <v>50</v>
      </c>
      <c r="F325" s="5" t="n">
        <v>0.0305</v>
      </c>
    </row>
    <row r="326">
      <c r="A326" s="3" t="n">
        <v>89</v>
      </c>
      <c r="B326" t="n">
        <v>3</v>
      </c>
      <c r="C326" s="3" t="inlineStr">
        <is>
          <t>burger relish</t>
        </is>
      </c>
      <c r="D326" s="3" t="inlineStr">
        <is>
          <t>BCH027</t>
        </is>
      </c>
      <c r="E326" s="4" t="n">
        <v>50</v>
      </c>
      <c r="F326" s="5" t="n">
        <v>0</v>
      </c>
    </row>
    <row r="327">
      <c r="A327" s="3" t="n">
        <v>89</v>
      </c>
      <c r="B327" t="n">
        <v>4</v>
      </c>
      <c r="C327" s="3" t="inlineStr">
        <is>
          <t>Green slaw batch</t>
        </is>
      </c>
      <c r="D327" s="3" t="inlineStr">
        <is>
          <t>BCH035</t>
        </is>
      </c>
      <c r="E327" s="4" t="n">
        <v>60</v>
      </c>
      <c r="F327" s="5" t="n">
        <v>0.1128571429</v>
      </c>
    </row>
    <row r="328">
      <c r="A328" s="3" t="n">
        <v>89</v>
      </c>
      <c r="B328" t="n">
        <v>5</v>
      </c>
      <c r="C328" s="3" t="inlineStr">
        <is>
          <t>Cheddar cheese</t>
        </is>
      </c>
      <c r="D328" s="3" t="inlineStr">
        <is>
          <t>106.CHE33</t>
        </is>
      </c>
      <c r="E328" s="4" t="n">
        <v>50</v>
      </c>
      <c r="F328" s="5" t="n">
        <v>0.4175</v>
      </c>
    </row>
    <row r="329">
      <c r="A329" s="3" t="n">
        <v>89</v>
      </c>
      <c r="B329" t="n">
        <v>6</v>
      </c>
      <c r="C329" s="3" t="inlineStr">
        <is>
          <t>bacon</t>
        </is>
      </c>
      <c r="D329" s="3" t="inlineStr">
        <is>
          <t>106.COCU13</t>
        </is>
      </c>
      <c r="E329" s="4" t="n">
        <v>50</v>
      </c>
      <c r="F329" s="5" t="n">
        <v>0.3875</v>
      </c>
    </row>
    <row r="330">
      <c r="A330" s="3" t="n">
        <v>91</v>
      </c>
      <c r="B330" t="n">
        <v>1</v>
      </c>
      <c r="C330" s="3" t="inlineStr">
        <is>
          <t>firemade batch</t>
        </is>
      </c>
      <c r="D330" s="3" t="inlineStr">
        <is>
          <t>BCH024</t>
        </is>
      </c>
      <c r="E330" s="4" t="n">
        <v>80</v>
      </c>
      <c r="F330" s="5" t="n">
        <v>0.3802488889</v>
      </c>
    </row>
    <row r="331">
      <c r="A331" s="3" t="n">
        <v>92</v>
      </c>
      <c r="B331" t="n">
        <v>1</v>
      </c>
      <c r="C331" s="3" t="inlineStr">
        <is>
          <t>chimichurri batch</t>
        </is>
      </c>
      <c r="D331" s="3" t="inlineStr">
        <is>
          <t>BCH033</t>
        </is>
      </c>
      <c r="E331" s="4" t="n">
        <v>80</v>
      </c>
      <c r="F331" s="5" t="n">
        <v>0.325984</v>
      </c>
    </row>
    <row r="332">
      <c r="A332" s="3" t="n">
        <v>93</v>
      </c>
      <c r="B332" t="n">
        <v>1</v>
      </c>
      <c r="C332" s="3" t="inlineStr">
        <is>
          <t>Roasted pepper salsa batch</t>
        </is>
      </c>
      <c r="D332" s="3" t="inlineStr">
        <is>
          <t>BCH038</t>
        </is>
      </c>
      <c r="E332" s="4" t="n">
        <v>80</v>
      </c>
      <c r="F332" s="5" t="n">
        <v>0.239176</v>
      </c>
    </row>
    <row r="333">
      <c r="A333" s="3" t="n">
        <v>95</v>
      </c>
      <c r="B333" t="n">
        <v>1</v>
      </c>
      <c r="C333" s="3" t="inlineStr">
        <is>
          <t>frozen fries</t>
        </is>
      </c>
      <c r="D333" s="3" t="inlineStr">
        <is>
          <t>103.VEG4</t>
        </is>
      </c>
      <c r="E333" s="4" t="n">
        <v>200</v>
      </c>
      <c r="F333" s="5" t="n">
        <v>0.456</v>
      </c>
    </row>
    <row r="334">
      <c r="A334" s="3" t="n">
        <v>96</v>
      </c>
      <c r="B334" t="n">
        <v>1</v>
      </c>
      <c r="C334" s="3" t="inlineStr">
        <is>
          <t>frozen fries</t>
        </is>
      </c>
      <c r="D334" s="3" t="inlineStr">
        <is>
          <t>103.VEG4</t>
        </is>
      </c>
      <c r="E334" s="4" t="n">
        <v>200</v>
      </c>
      <c r="F334" s="5" t="n">
        <v>0.456</v>
      </c>
    </row>
    <row r="335">
      <c r="A335" s="3" t="n">
        <v>96</v>
      </c>
      <c r="B335" t="n">
        <v>2</v>
      </c>
      <c r="C335" s="3" t="inlineStr">
        <is>
          <t>Truffle oil</t>
        </is>
      </c>
      <c r="D335" s="3" t="inlineStr">
        <is>
          <t>109.OIL4</t>
        </is>
      </c>
      <c r="E335" s="4" t="n">
        <v>5</v>
      </c>
      <c r="F335" s="5" t="n">
        <v>0</v>
      </c>
    </row>
    <row r="336">
      <c r="A336" s="3" t="n">
        <v>96</v>
      </c>
      <c r="B336" t="n">
        <v>3</v>
      </c>
      <c r="C336" s="3" t="inlineStr">
        <is>
          <t>Parmesan</t>
        </is>
      </c>
      <c r="D336" s="3" t="inlineStr">
        <is>
          <t>106.CHE43</t>
        </is>
      </c>
      <c r="E336" s="4" t="n">
        <v>15</v>
      </c>
      <c r="F336" s="5" t="n">
        <v>0.207</v>
      </c>
    </row>
    <row r="337">
      <c r="A337" s="3" t="n">
        <v>97</v>
      </c>
      <c r="B337" t="n">
        <v>1</v>
      </c>
      <c r="C337" s="3" t="inlineStr">
        <is>
          <t>courgette</t>
        </is>
      </c>
      <c r="D337" s="3" t="inlineStr">
        <is>
          <t>106.FRVEG19</t>
        </is>
      </c>
      <c r="E337" s="4" t="n">
        <v>75</v>
      </c>
      <c r="F337" s="5" t="n">
        <v>0.1875</v>
      </c>
    </row>
    <row r="338">
      <c r="A338" s="3" t="n">
        <v>97</v>
      </c>
      <c r="B338" t="n">
        <v>2</v>
      </c>
      <c r="C338" s="3" t="inlineStr">
        <is>
          <t>Aubergine</t>
        </is>
      </c>
      <c r="D338" s="3" t="inlineStr">
        <is>
          <t>106.FRVEG93</t>
        </is>
      </c>
      <c r="E338" s="4" t="n">
        <v>75</v>
      </c>
      <c r="F338" s="5" t="n">
        <v>0.135</v>
      </c>
    </row>
    <row r="339">
      <c r="A339" s="3" t="n">
        <v>97</v>
      </c>
      <c r="B339" t="n">
        <v>3</v>
      </c>
      <c r="C339" s="3" t="inlineStr">
        <is>
          <t>Bell peppers</t>
        </is>
      </c>
      <c r="D339" s="3" t="inlineStr">
        <is>
          <t>106.FRVEG106</t>
        </is>
      </c>
      <c r="E339" s="4" t="n">
        <v>75</v>
      </c>
      <c r="F339" s="5" t="n">
        <v>0.1725</v>
      </c>
    </row>
    <row r="340">
      <c r="A340" s="3" t="n">
        <v>98</v>
      </c>
      <c r="B340" t="n">
        <v>1</v>
      </c>
      <c r="C340" s="3" t="inlineStr">
        <is>
          <t>Braised spiced rice</t>
        </is>
      </c>
      <c r="D340" s="3" t="inlineStr">
        <is>
          <t>BCH028</t>
        </is>
      </c>
      <c r="E340" s="4" t="n">
        <v>150</v>
      </c>
      <c r="F340" s="5" t="n">
        <v>0.1463727273</v>
      </c>
    </row>
    <row r="341">
      <c r="A341" s="3" t="n">
        <v>99</v>
      </c>
      <c r="B341" t="n">
        <v>1</v>
      </c>
      <c r="C341" s="3" t="inlineStr">
        <is>
          <t>salad leaves</t>
        </is>
      </c>
      <c r="D341" s="3" t="inlineStr">
        <is>
          <t>106.FRVEG151</t>
        </is>
      </c>
      <c r="E341" s="4" t="n">
        <v>80</v>
      </c>
      <c r="F341" s="5" t="n">
        <v>0.88</v>
      </c>
    </row>
    <row r="342">
      <c r="A342" s="3" t="n">
        <v>99</v>
      </c>
      <c r="B342" t="n">
        <v>2</v>
      </c>
      <c r="C342" s="3" t="inlineStr">
        <is>
          <t>lemon dressing</t>
        </is>
      </c>
      <c r="D342" s="3" t="inlineStr">
        <is>
          <t>BCH012</t>
        </is>
      </c>
      <c r="E342" s="4" t="n">
        <v>15</v>
      </c>
      <c r="F342" s="5" t="n">
        <v>0.06897499999999999</v>
      </c>
    </row>
    <row r="343">
      <c r="A343" s="3" t="n">
        <v>104</v>
      </c>
      <c r="B343" t="n">
        <v>1</v>
      </c>
      <c r="C343" s="3" t="inlineStr">
        <is>
          <t>PIzza Dough batch</t>
        </is>
      </c>
      <c r="D343" s="3" t="inlineStr">
        <is>
          <t>BCH042</t>
        </is>
      </c>
      <c r="E343" s="4" t="n">
        <v>240</v>
      </c>
      <c r="F343" s="5" t="n">
        <v>0.14582304</v>
      </c>
    </row>
    <row r="344">
      <c r="A344" s="3" t="n">
        <v>104</v>
      </c>
      <c r="B344" t="n">
        <v>2</v>
      </c>
      <c r="C344" s="3" t="inlineStr">
        <is>
          <t>PIzza sauce tomato</t>
        </is>
      </c>
      <c r="D344" s="3" t="inlineStr">
        <is>
          <t>BCH043</t>
        </is>
      </c>
      <c r="E344" s="4" t="n">
        <v>120</v>
      </c>
      <c r="F344" s="5" t="n">
        <v>0.3519691508</v>
      </c>
    </row>
    <row r="345">
      <c r="A345" s="3" t="n">
        <v>104</v>
      </c>
      <c r="B345" t="n">
        <v>3</v>
      </c>
      <c r="C345" s="3" t="inlineStr">
        <is>
          <t>Mozzarella</t>
        </is>
      </c>
      <c r="D345" s="3" t="inlineStr">
        <is>
          <t>106.CHE39</t>
        </is>
      </c>
      <c r="E345" s="4" t="n">
        <v>125</v>
      </c>
      <c r="F345" s="5" t="n">
        <v>3.16875</v>
      </c>
    </row>
    <row r="346">
      <c r="A346" s="3" t="n">
        <v>104</v>
      </c>
      <c r="B346" t="n">
        <v>4</v>
      </c>
      <c r="C346" s="3" t="inlineStr">
        <is>
          <t>Parmesan</t>
        </is>
      </c>
      <c r="D346" s="3" t="inlineStr">
        <is>
          <t>106.CHE43</t>
        </is>
      </c>
      <c r="E346" s="4" t="n">
        <v>15</v>
      </c>
      <c r="F346" s="5" t="n">
        <v>0.207</v>
      </c>
    </row>
    <row r="347">
      <c r="A347" s="3" t="n">
        <v>104</v>
      </c>
      <c r="B347" t="n">
        <v>5</v>
      </c>
      <c r="C347" s="3" t="inlineStr">
        <is>
          <t>Basil</t>
        </is>
      </c>
      <c r="D347" s="3" t="inlineStr">
        <is>
          <t>106.FRVEG5</t>
        </is>
      </c>
      <c r="E347" s="4" t="n">
        <v>3</v>
      </c>
      <c r="F347" s="5" t="n">
        <v>0.006</v>
      </c>
    </row>
    <row r="348">
      <c r="A348" s="3" t="n">
        <v>104</v>
      </c>
      <c r="B348" t="n">
        <v>6</v>
      </c>
      <c r="C348" s="3" t="inlineStr">
        <is>
          <t>olive oil</t>
        </is>
      </c>
      <c r="D348" s="3" t="inlineStr">
        <is>
          <t>109.OIL1</t>
        </is>
      </c>
      <c r="E348" s="4" t="n">
        <v>5</v>
      </c>
      <c r="F348" s="5" t="n">
        <v>0.03</v>
      </c>
    </row>
    <row r="349">
      <c r="A349" s="3" t="n">
        <v>105</v>
      </c>
      <c r="B349" t="n">
        <v>1</v>
      </c>
      <c r="C349" s="3" t="inlineStr">
        <is>
          <t>PIzza Dough batch</t>
        </is>
      </c>
      <c r="D349" s="3" t="inlineStr">
        <is>
          <t>BCH042</t>
        </is>
      </c>
      <c r="E349" s="4" t="n">
        <v>240</v>
      </c>
      <c r="F349" s="5" t="n">
        <v>0.14582304</v>
      </c>
    </row>
    <row r="350">
      <c r="A350" s="3" t="n">
        <v>105</v>
      </c>
      <c r="B350" t="n">
        <v>2</v>
      </c>
      <c r="C350" s="3" t="inlineStr">
        <is>
          <t>PIzza sauce tomato</t>
        </is>
      </c>
      <c r="D350" s="3" t="inlineStr">
        <is>
          <t>BCH043</t>
        </is>
      </c>
      <c r="E350" s="4" t="n">
        <v>120</v>
      </c>
      <c r="F350" s="5" t="n">
        <v>0.3519691508</v>
      </c>
    </row>
    <row r="351">
      <c r="A351" s="3" t="n">
        <v>105</v>
      </c>
      <c r="B351" t="n">
        <v>3</v>
      </c>
      <c r="C351" s="3" t="inlineStr">
        <is>
          <t>Mozzarella</t>
        </is>
      </c>
      <c r="D351" s="3" t="inlineStr">
        <is>
          <t>106.CHE39</t>
        </is>
      </c>
      <c r="E351" s="4" t="n">
        <v>100</v>
      </c>
      <c r="F351" s="5" t="n">
        <v>2.535</v>
      </c>
    </row>
    <row r="352">
      <c r="A352" s="3" t="n">
        <v>105</v>
      </c>
      <c r="B352" t="n">
        <v>4</v>
      </c>
      <c r="C352" s="3" t="inlineStr">
        <is>
          <t>Parma Ham</t>
        </is>
      </c>
      <c r="D352" s="3" t="inlineStr">
        <is>
          <t>106.COCU14</t>
        </is>
      </c>
      <c r="E352" s="4" t="n">
        <v>30</v>
      </c>
      <c r="F352" s="5" t="n">
        <v>0.678</v>
      </c>
    </row>
    <row r="353">
      <c r="A353" s="3" t="n">
        <v>105</v>
      </c>
      <c r="B353" t="n">
        <v>5</v>
      </c>
      <c r="C353" s="3" t="inlineStr">
        <is>
          <t>parmesan</t>
        </is>
      </c>
      <c r="D353" s="3" t="inlineStr">
        <is>
          <t>106.CHE43</t>
        </is>
      </c>
      <c r="E353" s="4" t="n">
        <v>15</v>
      </c>
      <c r="F353" s="5" t="n">
        <v>0.207</v>
      </c>
    </row>
    <row r="354">
      <c r="A354" s="3" t="n">
        <v>105</v>
      </c>
      <c r="B354" t="n">
        <v>6</v>
      </c>
      <c r="C354" s="3" t="inlineStr">
        <is>
          <t>Rocket</t>
        </is>
      </c>
      <c r="D354" s="3" t="inlineStr">
        <is>
          <t>106.FRVEG156</t>
        </is>
      </c>
      <c r="E354" s="4" t="n">
        <v>5</v>
      </c>
      <c r="F354" s="5" t="n">
        <v>0.0375</v>
      </c>
    </row>
    <row r="355">
      <c r="A355" s="3" t="n">
        <v>105</v>
      </c>
      <c r="B355" t="n">
        <v>7</v>
      </c>
      <c r="C355" s="3" t="inlineStr">
        <is>
          <t>olive oil</t>
        </is>
      </c>
      <c r="D355" s="3" t="inlineStr">
        <is>
          <t>109.OIL1</t>
        </is>
      </c>
      <c r="E355" s="4" t="n">
        <v>2</v>
      </c>
      <c r="F355" s="5" t="n">
        <v>0.012</v>
      </c>
    </row>
    <row r="356">
      <c r="A356" s="3" t="n">
        <v>105</v>
      </c>
      <c r="B356" t="n">
        <v>8</v>
      </c>
      <c r="C356" s="3" t="inlineStr">
        <is>
          <t>Pepper</t>
        </is>
      </c>
      <c r="D356" s="3" t="inlineStr">
        <is>
          <t>107.SPIC4</t>
        </is>
      </c>
      <c r="E356" s="4" t="n">
        <v>2</v>
      </c>
      <c r="F356" s="5" t="n">
        <v>0.04508</v>
      </c>
    </row>
    <row r="357">
      <c r="A357" s="3" t="n">
        <v>106</v>
      </c>
      <c r="B357" t="n">
        <v>1</v>
      </c>
      <c r="C357" s="3" t="inlineStr">
        <is>
          <t>PIzza Dough batch</t>
        </is>
      </c>
      <c r="D357" s="3" t="inlineStr">
        <is>
          <t>BCH042</t>
        </is>
      </c>
      <c r="E357" s="4" t="n">
        <v>240</v>
      </c>
      <c r="F357" s="5" t="n">
        <v>0.14582304</v>
      </c>
    </row>
    <row r="358">
      <c r="A358" s="3" t="n">
        <v>106</v>
      </c>
      <c r="B358" t="n">
        <v>2</v>
      </c>
      <c r="C358" s="3" t="inlineStr">
        <is>
          <t>PIzza sauce tomato</t>
        </is>
      </c>
      <c r="D358" s="3" t="inlineStr">
        <is>
          <t>BCH043</t>
        </is>
      </c>
      <c r="E358" s="4" t="n">
        <v>120</v>
      </c>
      <c r="F358" s="5" t="n">
        <v>0.3519691508</v>
      </c>
    </row>
    <row r="359">
      <c r="A359" s="3" t="n">
        <v>106</v>
      </c>
      <c r="B359" t="n">
        <v>3</v>
      </c>
      <c r="C359" s="3" t="inlineStr">
        <is>
          <t>Mozzarella</t>
        </is>
      </c>
      <c r="D359" s="3" t="inlineStr">
        <is>
          <t>106.CHE39</t>
        </is>
      </c>
      <c r="E359" s="4" t="n">
        <v>100</v>
      </c>
      <c r="F359" s="5" t="n">
        <v>2.535</v>
      </c>
    </row>
    <row r="360">
      <c r="A360" s="3" t="n">
        <v>106</v>
      </c>
      <c r="B360" t="n">
        <v>4</v>
      </c>
      <c r="C360" s="3" t="inlineStr">
        <is>
          <t>Caponata Batch</t>
        </is>
      </c>
      <c r="D360" s="3" t="inlineStr">
        <is>
          <t>BCH046</t>
        </is>
      </c>
      <c r="E360" s="4" t="n">
        <v>100</v>
      </c>
      <c r="F360" s="5" t="n">
        <v>0</v>
      </c>
    </row>
    <row r="361">
      <c r="A361" s="3" t="n">
        <v>106</v>
      </c>
      <c r="B361" t="n">
        <v>5</v>
      </c>
      <c r="C361" s="3" t="inlineStr">
        <is>
          <t>Courgette</t>
        </is>
      </c>
      <c r="D361" s="3" t="inlineStr">
        <is>
          <t>106.FRVEG19</t>
        </is>
      </c>
      <c r="E361" s="4" t="n">
        <v>60</v>
      </c>
      <c r="F361" s="5" t="n">
        <v>0.15</v>
      </c>
    </row>
    <row r="362">
      <c r="A362" s="3" t="n">
        <v>106</v>
      </c>
      <c r="B362" t="n">
        <v>6</v>
      </c>
      <c r="C362" s="3" t="inlineStr">
        <is>
          <t>Olives</t>
        </is>
      </c>
      <c r="D362" s="3" t="inlineStr">
        <is>
          <t>109.OLI2</t>
        </is>
      </c>
      <c r="E362" s="4" t="n">
        <v>25</v>
      </c>
      <c r="F362" s="5" t="n">
        <v>0.11</v>
      </c>
    </row>
    <row r="363">
      <c r="A363" s="3" t="n">
        <v>106</v>
      </c>
      <c r="B363" t="n">
        <v>7</v>
      </c>
      <c r="C363" s="3" t="inlineStr">
        <is>
          <t>olive oil</t>
        </is>
      </c>
      <c r="D363" s="3" t="inlineStr">
        <is>
          <t>109.OIL1</t>
        </is>
      </c>
      <c r="E363" s="4" t="n">
        <v>5</v>
      </c>
      <c r="F363" s="5" t="n">
        <v>0.03</v>
      </c>
    </row>
    <row r="364">
      <c r="A364" s="3" t="n">
        <v>106</v>
      </c>
      <c r="B364" t="n">
        <v>8</v>
      </c>
      <c r="C364" s="3" t="inlineStr">
        <is>
          <t>Oregano dried</t>
        </is>
      </c>
      <c r="D364" s="3" t="inlineStr">
        <is>
          <t>106.FRVEG26</t>
        </is>
      </c>
      <c r="E364" s="4" t="n">
        <v>2</v>
      </c>
      <c r="F364" s="5" t="n">
        <v>0.0072</v>
      </c>
    </row>
    <row r="365">
      <c r="A365" s="3" t="n">
        <v>106</v>
      </c>
      <c r="B365" t="n">
        <v>9</v>
      </c>
      <c r="C365" s="3" t="inlineStr">
        <is>
          <t>Basil</t>
        </is>
      </c>
      <c r="D365" s="3" t="inlineStr">
        <is>
          <t>106.FRVEG5</t>
        </is>
      </c>
      <c r="E365" s="4" t="n">
        <v>3</v>
      </c>
      <c r="F365" s="5" t="n">
        <v>0.006</v>
      </c>
    </row>
    <row r="366">
      <c r="A366" s="3" t="n">
        <v>106</v>
      </c>
      <c r="B366" t="n">
        <v>10</v>
      </c>
      <c r="C366" s="3" t="inlineStr">
        <is>
          <t>pepper</t>
        </is>
      </c>
      <c r="D366" s="3" t="inlineStr">
        <is>
          <t>107.SPIC4</t>
        </is>
      </c>
      <c r="E366" s="4" t="n"/>
      <c r="F366" s="5" t="n">
        <v>0</v>
      </c>
    </row>
    <row r="367">
      <c r="A367" s="3" t="n">
        <v>107</v>
      </c>
      <c r="B367" t="n">
        <v>1</v>
      </c>
      <c r="C367" s="3" t="inlineStr">
        <is>
          <t>PIzza Dough batch</t>
        </is>
      </c>
      <c r="D367" s="3" t="inlineStr">
        <is>
          <t>BCH042</t>
        </is>
      </c>
      <c r="E367" s="4" t="n">
        <v>240</v>
      </c>
      <c r="F367" s="5" t="n">
        <v>0.14582304</v>
      </c>
    </row>
    <row r="368">
      <c r="A368" s="3" t="n">
        <v>107</v>
      </c>
      <c r="B368" t="n">
        <v>2</v>
      </c>
      <c r="C368" s="3" t="inlineStr">
        <is>
          <t>PIzza sauce tomato</t>
        </is>
      </c>
      <c r="D368" s="3" t="inlineStr">
        <is>
          <t>BCH043</t>
        </is>
      </c>
      <c r="E368" s="4" t="n">
        <v>120</v>
      </c>
      <c r="F368" s="5" t="n">
        <v>0.3519691508</v>
      </c>
    </row>
    <row r="369">
      <c r="A369" s="3" t="n">
        <v>107</v>
      </c>
      <c r="B369" t="n">
        <v>3</v>
      </c>
      <c r="C369" s="3" t="inlineStr">
        <is>
          <t>Mozzarella</t>
        </is>
      </c>
      <c r="D369" s="3" t="inlineStr">
        <is>
          <t>106.CHE39</t>
        </is>
      </c>
      <c r="E369" s="4" t="n">
        <v>100</v>
      </c>
      <c r="F369" s="5" t="n">
        <v>2.535</v>
      </c>
    </row>
    <row r="370">
      <c r="A370" s="3" t="n">
        <v>107</v>
      </c>
      <c r="B370" t="n">
        <v>4</v>
      </c>
      <c r="C370" s="3" t="inlineStr">
        <is>
          <t>Pepperoni</t>
        </is>
      </c>
      <c r="D370" s="3" t="inlineStr">
        <is>
          <t>106.COCU11</t>
        </is>
      </c>
      <c r="E370" s="4" t="n">
        <v>50</v>
      </c>
      <c r="F370" s="5" t="n">
        <v>0.654</v>
      </c>
    </row>
    <row r="371">
      <c r="A371" s="3" t="n">
        <v>107</v>
      </c>
      <c r="B371" t="n">
        <v>5</v>
      </c>
      <c r="C371" s="3" t="inlineStr">
        <is>
          <t>olive oil</t>
        </is>
      </c>
      <c r="D371" s="3" t="inlineStr">
        <is>
          <t>109.OIL1</t>
        </is>
      </c>
      <c r="E371" s="4" t="n">
        <v>5</v>
      </c>
      <c r="F371" s="5" t="n">
        <v>0.03</v>
      </c>
    </row>
    <row r="372">
      <c r="A372" s="3" t="n">
        <v>107</v>
      </c>
      <c r="B372" t="n">
        <v>6</v>
      </c>
      <c r="C372" s="3" t="inlineStr">
        <is>
          <t>chilli flakes</t>
        </is>
      </c>
      <c r="D372" s="3" t="inlineStr">
        <is>
          <t>107.SPIC54</t>
        </is>
      </c>
      <c r="E372" s="4" t="n">
        <v>1</v>
      </c>
      <c r="F372" s="5" t="n">
        <v>0</v>
      </c>
    </row>
    <row r="373">
      <c r="A373" s="3" t="n">
        <v>108</v>
      </c>
      <c r="B373" t="n">
        <v>1</v>
      </c>
      <c r="C373" s="3" t="inlineStr">
        <is>
          <t>PIzza Dough batch</t>
        </is>
      </c>
      <c r="D373" s="3" t="inlineStr">
        <is>
          <t>BCH042</t>
        </is>
      </c>
      <c r="E373" s="4" t="n">
        <v>240</v>
      </c>
      <c r="F373" s="5" t="n">
        <v>0.14582304</v>
      </c>
    </row>
    <row r="374">
      <c r="A374" s="3" t="n">
        <v>108</v>
      </c>
      <c r="B374" t="n">
        <v>2</v>
      </c>
      <c r="C374" s="3" t="inlineStr">
        <is>
          <t>PIzza sauce tomato</t>
        </is>
      </c>
      <c r="D374" s="3" t="inlineStr">
        <is>
          <t>BCH043</t>
        </is>
      </c>
      <c r="E374" s="4" t="n">
        <v>120</v>
      </c>
      <c r="F374" s="5" t="n">
        <v>0.3519691508</v>
      </c>
    </row>
    <row r="375">
      <c r="A375" s="3" t="n">
        <v>108</v>
      </c>
      <c r="B375" t="n">
        <v>3</v>
      </c>
      <c r="C375" s="3" t="inlineStr">
        <is>
          <t>Mozzarella</t>
        </is>
      </c>
      <c r="D375" s="3" t="inlineStr">
        <is>
          <t>106.CHE39</t>
        </is>
      </c>
      <c r="E375" s="4" t="n">
        <v>100</v>
      </c>
      <c r="F375" s="5" t="n">
        <v>2.535</v>
      </c>
    </row>
    <row r="376">
      <c r="A376" s="3" t="n">
        <v>108</v>
      </c>
      <c r="B376" t="n">
        <v>4</v>
      </c>
      <c r="C376" s="3" t="inlineStr">
        <is>
          <t>Spicy Sausage Batch</t>
        </is>
      </c>
      <c r="D376" s="3" t="inlineStr">
        <is>
          <t>BCH068</t>
        </is>
      </c>
      <c r="E376" s="4" t="n">
        <v>80</v>
      </c>
      <c r="F376" s="5" t="n">
        <v>0.07302400000000001</v>
      </c>
    </row>
    <row r="377">
      <c r="A377" s="3" t="n">
        <v>108</v>
      </c>
      <c r="B377" t="n">
        <v>5</v>
      </c>
      <c r="C377" s="3" t="inlineStr">
        <is>
          <t>Red onion</t>
        </is>
      </c>
      <c r="D377" s="3" t="inlineStr">
        <is>
          <t>106.FRVEG18</t>
        </is>
      </c>
      <c r="E377" s="4" t="n">
        <v>60</v>
      </c>
      <c r="F377" s="5" t="n">
        <v>0.075</v>
      </c>
    </row>
    <row r="378">
      <c r="A378" s="3" t="n">
        <v>108</v>
      </c>
      <c r="B378" t="n">
        <v>6</v>
      </c>
      <c r="C378" s="3" t="inlineStr">
        <is>
          <t>Olive Oil</t>
        </is>
      </c>
      <c r="D378" s="3" t="inlineStr">
        <is>
          <t>109.OIL1</t>
        </is>
      </c>
      <c r="E378" s="4" t="n"/>
      <c r="F378" s="5" t="n"/>
    </row>
    <row r="379">
      <c r="A379" s="3" t="n">
        <v>109</v>
      </c>
      <c r="B379" t="n">
        <v>1</v>
      </c>
      <c r="C379" s="3" t="inlineStr">
        <is>
          <t>PIzza Dough batch</t>
        </is>
      </c>
      <c r="D379" s="3" t="inlineStr">
        <is>
          <t>BCH042</t>
        </is>
      </c>
      <c r="E379" s="4" t="n">
        <v>240</v>
      </c>
      <c r="F379" s="5" t="n">
        <v>0.14582304</v>
      </c>
    </row>
    <row r="380">
      <c r="A380" s="3" t="n">
        <v>109</v>
      </c>
      <c r="B380" t="n">
        <v>2</v>
      </c>
      <c r="C380" s="3" t="inlineStr">
        <is>
          <t>PIzza sauce tomato</t>
        </is>
      </c>
      <c r="D380" s="3" t="inlineStr">
        <is>
          <t>BCH043</t>
        </is>
      </c>
      <c r="E380" s="4" t="n">
        <v>120</v>
      </c>
      <c r="F380" s="5" t="n">
        <v>0.3519691508</v>
      </c>
    </row>
    <row r="381">
      <c r="A381" s="3" t="n">
        <v>109</v>
      </c>
      <c r="B381" t="n">
        <v>3</v>
      </c>
      <c r="C381" s="3" t="inlineStr">
        <is>
          <t>Mozzarella</t>
        </is>
      </c>
      <c r="D381" s="3" t="inlineStr">
        <is>
          <t>106.CHE39</t>
        </is>
      </c>
      <c r="E381" s="4" t="n">
        <v>100</v>
      </c>
      <c r="F381" s="5" t="n">
        <v>2.535</v>
      </c>
    </row>
    <row r="382">
      <c r="A382" s="3" t="n">
        <v>110</v>
      </c>
      <c r="B382" t="n">
        <v>1</v>
      </c>
      <c r="C382" s="3" t="inlineStr">
        <is>
          <t>Greek yoghurt</t>
        </is>
      </c>
      <c r="D382" s="3" t="inlineStr">
        <is>
          <t>106.YOG6</t>
        </is>
      </c>
      <c r="E382" s="4" t="n">
        <v>150</v>
      </c>
      <c r="F382" s="5" t="n">
        <v>0.4485</v>
      </c>
    </row>
    <row r="383">
      <c r="A383" s="3" t="n">
        <v>110</v>
      </c>
      <c r="B383" t="n">
        <v>2</v>
      </c>
      <c r="C383" s="3" t="inlineStr">
        <is>
          <t>Honey</t>
        </is>
      </c>
      <c r="D383" s="3" t="inlineStr">
        <is>
          <t>107.HON1</t>
        </is>
      </c>
      <c r="E383" s="4" t="n">
        <v>50</v>
      </c>
      <c r="F383" s="5" t="n">
        <v>0.3105</v>
      </c>
    </row>
    <row r="384">
      <c r="A384" s="3" t="n">
        <v>111</v>
      </c>
      <c r="B384" t="n">
        <v>1</v>
      </c>
      <c r="C384" s="3" t="inlineStr">
        <is>
          <t>lemon posset batch</t>
        </is>
      </c>
      <c r="D384" s="3" t="inlineStr">
        <is>
          <t>BCH032</t>
        </is>
      </c>
      <c r="E384" s="4" t="n">
        <v>125</v>
      </c>
      <c r="F384" s="5" t="n">
        <v>0.7204375</v>
      </c>
    </row>
    <row r="385">
      <c r="A385" s="3" t="n">
        <v>112</v>
      </c>
      <c r="B385" t="n">
        <v>1</v>
      </c>
      <c r="C385" s="3" t="inlineStr">
        <is>
          <t>Tiramasu batch</t>
        </is>
      </c>
      <c r="D385" s="3" t="inlineStr">
        <is>
          <t>BCH040</t>
        </is>
      </c>
      <c r="E385" s="4" t="n">
        <v>160</v>
      </c>
      <c r="F385" s="5" t="n">
        <v>1.515151331</v>
      </c>
    </row>
    <row r="386">
      <c r="A386" s="3" t="n">
        <v>113</v>
      </c>
      <c r="B386" t="n">
        <v>1</v>
      </c>
      <c r="C386" s="3" t="inlineStr">
        <is>
          <t>Chocolate brownie batch</t>
        </is>
      </c>
      <c r="D386" s="3" t="inlineStr">
        <is>
          <t>BCH039</t>
        </is>
      </c>
      <c r="E386" s="4" t="n">
        <v>125</v>
      </c>
      <c r="F386" s="5" t="n">
        <v>1.170041667</v>
      </c>
    </row>
    <row r="387">
      <c r="A387" s="3" t="n">
        <v>113</v>
      </c>
      <c r="B387" t="n">
        <v>2</v>
      </c>
      <c r="C387" s="3" t="inlineStr">
        <is>
          <t>Whipped cream</t>
        </is>
      </c>
      <c r="D387" s="3" t="inlineStr">
        <is>
          <t>106.MILK7</t>
        </is>
      </c>
      <c r="E387" s="4" t="n">
        <v>50</v>
      </c>
      <c r="F387" s="5" t="n">
        <v>0</v>
      </c>
    </row>
    <row r="388">
      <c r="A388" s="3" t="n">
        <v>114</v>
      </c>
      <c r="B388" t="n">
        <v>1</v>
      </c>
      <c r="C388" s="3" t="inlineStr">
        <is>
          <t>Watermelon</t>
        </is>
      </c>
      <c r="D388" s="3" t="inlineStr">
        <is>
          <t>106.FRFRU18</t>
        </is>
      </c>
      <c r="E388" s="4" t="n">
        <v>200</v>
      </c>
      <c r="F388" s="5" t="n">
        <v>0.13</v>
      </c>
    </row>
    <row r="389">
      <c r="A389" s="3" t="n">
        <v>116</v>
      </c>
      <c r="B389" t="n">
        <v>1</v>
      </c>
      <c r="C389" s="3" t="inlineStr">
        <is>
          <t>PItta Bread</t>
        </is>
      </c>
      <c r="D389" s="3" t="inlineStr">
        <is>
          <t>ING008</t>
        </is>
      </c>
      <c r="E389" s="4" t="n">
        <v>75</v>
      </c>
      <c r="F389" s="5" t="n">
        <v>0.01575</v>
      </c>
    </row>
    <row r="390">
      <c r="A390" s="3" t="n">
        <v>116</v>
      </c>
      <c r="B390" t="n">
        <v>2</v>
      </c>
      <c r="C390" s="3" t="inlineStr">
        <is>
          <t>Tzatsiki batch</t>
        </is>
      </c>
      <c r="D390" s="3" t="inlineStr">
        <is>
          <t>BCH020</t>
        </is>
      </c>
      <c r="E390" s="4" t="n">
        <v>95</v>
      </c>
      <c r="F390" s="5" t="n">
        <v>0.3121428571</v>
      </c>
    </row>
    <row r="391">
      <c r="A391" s="3" t="n">
        <v>116</v>
      </c>
      <c r="B391" t="n">
        <v>3</v>
      </c>
      <c r="C391" s="3" t="inlineStr">
        <is>
          <t>Hummus batch</t>
        </is>
      </c>
      <c r="D391" s="3" t="inlineStr">
        <is>
          <t>BCH059</t>
        </is>
      </c>
      <c r="E391" s="4" t="n">
        <v>95</v>
      </c>
      <c r="F391" s="5" t="n">
        <v>0.3238246</v>
      </c>
    </row>
    <row r="392">
      <c r="A392" s="3" t="n">
        <v>116</v>
      </c>
      <c r="B392" t="n">
        <v>4</v>
      </c>
      <c r="C392" s="3" t="inlineStr">
        <is>
          <t>melitzanosalata batch</t>
        </is>
      </c>
      <c r="D392" s="3" t="inlineStr">
        <is>
          <t>BCH058</t>
        </is>
      </c>
      <c r="E392" s="4" t="n">
        <v>95</v>
      </c>
      <c r="F392" s="5" t="n">
        <v>0.1910133333</v>
      </c>
    </row>
    <row r="393">
      <c r="A393" s="3" t="n">
        <v>116</v>
      </c>
      <c r="B393" t="n">
        <v>5</v>
      </c>
      <c r="C393" s="3" t="inlineStr">
        <is>
          <t>Olive oil</t>
        </is>
      </c>
      <c r="D393" s="3" t="inlineStr">
        <is>
          <t>109.OIL1</t>
        </is>
      </c>
      <c r="E393" s="4" t="n">
        <v>5</v>
      </c>
      <c r="F393" s="5" t="n">
        <v>0.03</v>
      </c>
    </row>
    <row r="394">
      <c r="A394" s="3" t="n">
        <v>119</v>
      </c>
      <c r="B394" t="n">
        <v>1</v>
      </c>
      <c r="C394" s="3" t="inlineStr">
        <is>
          <t>King prawns</t>
        </is>
      </c>
      <c r="D394" s="3" t="inlineStr">
        <is>
          <t>102.SEA37</t>
        </is>
      </c>
      <c r="E394" s="4" t="n">
        <v>200</v>
      </c>
      <c r="F394" s="5" t="n">
        <v>3.2</v>
      </c>
    </row>
    <row r="395">
      <c r="A395" s="3" t="n">
        <v>119</v>
      </c>
      <c r="B395" t="n">
        <v>2</v>
      </c>
      <c r="C395" s="3" t="inlineStr">
        <is>
          <t>garlic</t>
        </is>
      </c>
      <c r="D395" s="3" t="inlineStr">
        <is>
          <t>106.FRVEG10</t>
        </is>
      </c>
      <c r="E395" s="4" t="n">
        <v>5</v>
      </c>
      <c r="F395" s="5" t="n">
        <v>0.037</v>
      </c>
    </row>
    <row r="396">
      <c r="A396" s="3" t="n">
        <v>119</v>
      </c>
      <c r="B396" t="n">
        <v>3</v>
      </c>
      <c r="C396" s="3" t="inlineStr">
        <is>
          <t>Fresh Chilli</t>
        </is>
      </c>
      <c r="D396" s="3" t="inlineStr">
        <is>
          <t>106.FRVEG154</t>
        </is>
      </c>
      <c r="E396" s="4" t="n">
        <v>5</v>
      </c>
      <c r="F396" s="5" t="n">
        <v>0.045</v>
      </c>
    </row>
    <row r="397">
      <c r="A397" s="3" t="n">
        <v>119</v>
      </c>
      <c r="B397" t="n">
        <v>4</v>
      </c>
      <c r="C397" s="3" t="inlineStr">
        <is>
          <t>Olive oil</t>
        </is>
      </c>
      <c r="D397" s="3" t="inlineStr">
        <is>
          <t>109.OIL1</t>
        </is>
      </c>
      <c r="E397" s="4" t="n">
        <v>10</v>
      </c>
      <c r="F397" s="5" t="n">
        <v>0.06</v>
      </c>
    </row>
    <row r="398">
      <c r="A398" s="3" t="n">
        <v>119</v>
      </c>
      <c r="B398" t="n">
        <v>5</v>
      </c>
      <c r="C398" s="3" t="inlineStr">
        <is>
          <t>Fresh Parsley</t>
        </is>
      </c>
      <c r="D398" s="3" t="inlineStr">
        <is>
          <t>106.FRVEG42</t>
        </is>
      </c>
      <c r="E398" s="4" t="n">
        <v>2</v>
      </c>
      <c r="F398" s="5" t="n"/>
    </row>
    <row r="399">
      <c r="A399" s="3" t="n">
        <v>120</v>
      </c>
      <c r="B399" t="n">
        <v>1</v>
      </c>
      <c r="C399" s="3" t="inlineStr">
        <is>
          <t>Feta</t>
        </is>
      </c>
      <c r="D399" s="3" t="inlineStr">
        <is>
          <t>106.CHE14</t>
        </is>
      </c>
      <c r="E399" s="4" t="n">
        <v>100</v>
      </c>
      <c r="F399" s="5" t="n">
        <v>1.007</v>
      </c>
    </row>
    <row r="400">
      <c r="A400" s="3" t="n">
        <v>120</v>
      </c>
      <c r="B400" t="n">
        <v>2</v>
      </c>
      <c r="C400" s="3" t="inlineStr">
        <is>
          <t>Kataifi pastry</t>
        </is>
      </c>
      <c r="D400" s="3" t="inlineStr">
        <is>
          <t>ING017</t>
        </is>
      </c>
      <c r="E400" s="4" t="n">
        <v>50</v>
      </c>
      <c r="F400" s="5" t="n">
        <v>0.4975</v>
      </c>
    </row>
    <row r="401">
      <c r="A401" s="3" t="n">
        <v>120</v>
      </c>
      <c r="B401" t="n">
        <v>3</v>
      </c>
      <c r="C401" s="3" t="inlineStr">
        <is>
          <t>Courgette puree batch</t>
        </is>
      </c>
      <c r="D401" s="3" t="inlineStr">
        <is>
          <t>BCH061</t>
        </is>
      </c>
      <c r="E401" s="4" t="n">
        <v>20</v>
      </c>
      <c r="F401" s="5" t="n">
        <v>0.056698</v>
      </c>
    </row>
    <row r="402">
      <c r="A402" s="3" t="n">
        <v>120</v>
      </c>
      <c r="B402" t="n">
        <v>4</v>
      </c>
      <c r="C402" s="3" t="inlineStr">
        <is>
          <t>Sunflower seeds</t>
        </is>
      </c>
      <c r="D402" s="3" t="inlineStr">
        <is>
          <t>ING018</t>
        </is>
      </c>
      <c r="E402" s="4" t="n">
        <v>2</v>
      </c>
      <c r="F402" s="5" t="n">
        <v>0.00672</v>
      </c>
    </row>
    <row r="403">
      <c r="A403" s="3" t="n">
        <v>120</v>
      </c>
      <c r="B403" t="n">
        <v>5</v>
      </c>
      <c r="C403" s="3" t="inlineStr">
        <is>
          <t>Black sesame seeds</t>
        </is>
      </c>
      <c r="D403" s="3" t="inlineStr">
        <is>
          <t>107.NUT8</t>
        </is>
      </c>
      <c r="E403" s="4" t="n">
        <v>2</v>
      </c>
      <c r="F403" s="5" t="n"/>
    </row>
    <row r="404">
      <c r="A404" s="3" t="n">
        <v>120</v>
      </c>
      <c r="B404" t="n">
        <v>6</v>
      </c>
      <c r="C404" s="3" t="inlineStr">
        <is>
          <t>Paprika</t>
        </is>
      </c>
      <c r="D404" s="3" t="inlineStr">
        <is>
          <t>107.SPIC32</t>
        </is>
      </c>
      <c r="E404" s="4" t="n">
        <v>1</v>
      </c>
      <c r="F404" s="5" t="n">
        <v>0.0105</v>
      </c>
    </row>
    <row r="405">
      <c r="A405" s="3" t="n">
        <v>120</v>
      </c>
      <c r="B405" t="n">
        <v>7</v>
      </c>
      <c r="C405" s="3" t="inlineStr">
        <is>
          <t>Honey</t>
        </is>
      </c>
      <c r="D405" s="3" t="inlineStr">
        <is>
          <t>107.HON1</t>
        </is>
      </c>
      <c r="E405" s="4" t="n">
        <v>30</v>
      </c>
      <c r="F405" s="5" t="n">
        <v>0.1863</v>
      </c>
    </row>
    <row r="406">
      <c r="A406" s="3" t="n">
        <v>120</v>
      </c>
      <c r="B406" t="n">
        <v>8</v>
      </c>
      <c r="C406" s="3" t="inlineStr">
        <is>
          <t>Olive oil</t>
        </is>
      </c>
      <c r="D406" s="3" t="inlineStr">
        <is>
          <t>109.OIL1</t>
        </is>
      </c>
      <c r="E406" s="4" t="n"/>
      <c r="F406" s="5" t="n">
        <v>0</v>
      </c>
    </row>
    <row r="407">
      <c r="A407" s="3" t="n">
        <v>121</v>
      </c>
      <c r="B407" t="n">
        <v>1</v>
      </c>
      <c r="C407" s="3" t="inlineStr">
        <is>
          <t>Greek Meatballs Batch</t>
        </is>
      </c>
      <c r="D407" s="3" t="inlineStr">
        <is>
          <t>BCH062</t>
        </is>
      </c>
      <c r="E407" s="4" t="n">
        <v>200</v>
      </c>
      <c r="F407" s="5" t="n">
        <v>0.25085</v>
      </c>
    </row>
    <row r="408">
      <c r="A408" s="3" t="n">
        <v>121</v>
      </c>
      <c r="B408" t="n">
        <v>2</v>
      </c>
      <c r="C408" s="3" t="inlineStr">
        <is>
          <t>Tomato sauce</t>
        </is>
      </c>
      <c r="D408" s="3" t="inlineStr">
        <is>
          <t>BCH050</t>
        </is>
      </c>
      <c r="E408" s="4" t="n">
        <v>100</v>
      </c>
      <c r="F408" s="5" t="n">
        <v>0</v>
      </c>
    </row>
    <row r="409">
      <c r="A409" s="3" t="n">
        <v>121</v>
      </c>
      <c r="B409" t="n">
        <v>3</v>
      </c>
      <c r="C409" s="3" t="inlineStr">
        <is>
          <t>Fresh parsley</t>
        </is>
      </c>
      <c r="D409" s="3" t="inlineStr">
        <is>
          <t>106.FRVEG42</t>
        </is>
      </c>
      <c r="E409" s="4" t="n">
        <v>2</v>
      </c>
      <c r="F409" s="5" t="n">
        <v>0.0018</v>
      </c>
    </row>
    <row r="410">
      <c r="A410" s="3" t="n">
        <v>121</v>
      </c>
      <c r="B410" t="n">
        <v>4</v>
      </c>
      <c r="C410" s="3" t="inlineStr">
        <is>
          <t>Olive oil</t>
        </is>
      </c>
      <c r="D410" s="3" t="inlineStr">
        <is>
          <t>109.OIL1</t>
        </is>
      </c>
      <c r="E410" s="4" t="n">
        <v>3</v>
      </c>
      <c r="F410" s="5" t="n">
        <v>0.018</v>
      </c>
    </row>
    <row r="411">
      <c r="A411" s="3" t="n">
        <v>122</v>
      </c>
      <c r="B411" t="n">
        <v>1</v>
      </c>
      <c r="C411" s="3" t="inlineStr">
        <is>
          <t>Village sausage</t>
        </is>
      </c>
      <c r="D411" s="3" t="inlineStr">
        <is>
          <t>ING007</t>
        </is>
      </c>
      <c r="E411" s="4" t="n">
        <v>180</v>
      </c>
      <c r="F411" s="5" t="n">
        <v>1.224</v>
      </c>
    </row>
    <row r="412">
      <c r="A412" s="3" t="n">
        <v>122</v>
      </c>
      <c r="B412" t="n">
        <v>2</v>
      </c>
      <c r="C412" s="3" t="inlineStr">
        <is>
          <t>Red Onion</t>
        </is>
      </c>
      <c r="D412" s="3" t="inlineStr">
        <is>
          <t>106.FRVEG18</t>
        </is>
      </c>
      <c r="E412" s="4" t="n">
        <v>100</v>
      </c>
      <c r="F412" s="5" t="n">
        <v>0.125</v>
      </c>
    </row>
    <row r="413">
      <c r="A413" s="3" t="n">
        <v>122</v>
      </c>
      <c r="B413" t="n">
        <v>3</v>
      </c>
      <c r="C413" s="3" t="inlineStr">
        <is>
          <t>Red bell peppers</t>
        </is>
      </c>
      <c r="D413" s="3" t="inlineStr">
        <is>
          <t>106.FRVEG106</t>
        </is>
      </c>
      <c r="E413" s="4" t="n">
        <v>100</v>
      </c>
      <c r="F413" s="5" t="n">
        <v>0.37</v>
      </c>
    </row>
    <row r="414">
      <c r="A414" s="3" t="n">
        <v>122</v>
      </c>
      <c r="B414" t="n">
        <v>4</v>
      </c>
      <c r="C414" s="3" t="inlineStr">
        <is>
          <t>Sumac</t>
        </is>
      </c>
      <c r="D414" s="3" t="inlineStr">
        <is>
          <t>ING019</t>
        </is>
      </c>
      <c r="E414" s="4" t="n">
        <v>3</v>
      </c>
      <c r="F414" s="5" t="n">
        <v>0</v>
      </c>
    </row>
    <row r="415">
      <c r="A415" s="3" t="n">
        <v>122</v>
      </c>
      <c r="B415" t="n">
        <v>5</v>
      </c>
      <c r="C415" s="3" t="inlineStr">
        <is>
          <t>Olives</t>
        </is>
      </c>
      <c r="D415" s="3" t="inlineStr">
        <is>
          <t>109.OLI2</t>
        </is>
      </c>
      <c r="E415" s="4" t="n">
        <v>5</v>
      </c>
      <c r="F415" s="5" t="n">
        <v>0.022</v>
      </c>
    </row>
    <row r="416">
      <c r="A416" s="3" t="n">
        <v>122</v>
      </c>
      <c r="B416" t="n">
        <v>6</v>
      </c>
      <c r="C416" s="3" t="inlineStr">
        <is>
          <t>Salt</t>
        </is>
      </c>
      <c r="D416" s="3" t="inlineStr">
        <is>
          <t>107.SPIC13</t>
        </is>
      </c>
      <c r="E416" s="4" t="n">
        <v>2</v>
      </c>
      <c r="F416" s="5" t="n">
        <v>0.00156</v>
      </c>
    </row>
    <row r="417">
      <c r="A417" s="3" t="n">
        <v>122</v>
      </c>
      <c r="B417" t="n">
        <v>7</v>
      </c>
      <c r="C417" s="3" t="inlineStr">
        <is>
          <t>Pepper</t>
        </is>
      </c>
      <c r="D417" s="3" t="inlineStr">
        <is>
          <t>107.SPIC4</t>
        </is>
      </c>
      <c r="E417" s="4" t="n">
        <v>2</v>
      </c>
      <c r="F417" s="5" t="n">
        <v>0.04508</v>
      </c>
    </row>
    <row r="418">
      <c r="A418" s="3" t="n">
        <v>122</v>
      </c>
      <c r="B418" t="n">
        <v>8</v>
      </c>
      <c r="C418" s="3" t="inlineStr">
        <is>
          <t>Butter</t>
        </is>
      </c>
      <c r="D418" s="3" t="inlineStr">
        <is>
          <t>106.BUT10</t>
        </is>
      </c>
      <c r="E418" s="4" t="n">
        <v>20</v>
      </c>
      <c r="F418" s="5" t="n">
        <v>0.212</v>
      </c>
    </row>
    <row r="419">
      <c r="A419" s="3" t="n">
        <v>123</v>
      </c>
      <c r="B419" t="n">
        <v>1</v>
      </c>
      <c r="C419" s="3" t="inlineStr">
        <is>
          <t>mussels</t>
        </is>
      </c>
      <c r="D419" s="3" t="inlineStr">
        <is>
          <t>102.SEA30</t>
        </is>
      </c>
      <c r="E419" s="4" t="n">
        <v>200</v>
      </c>
      <c r="F419" s="5" t="n">
        <v>1.7</v>
      </c>
    </row>
    <row r="420">
      <c r="A420" s="3" t="n">
        <v>123</v>
      </c>
      <c r="B420" t="n">
        <v>2</v>
      </c>
      <c r="C420" s="3" t="inlineStr">
        <is>
          <t>Olive oil</t>
        </is>
      </c>
      <c r="D420" s="3" t="inlineStr">
        <is>
          <t>109.OIL1</t>
        </is>
      </c>
      <c r="E420" s="4" t="n">
        <v>5</v>
      </c>
      <c r="F420" s="5" t="n">
        <v>0.03</v>
      </c>
    </row>
    <row r="421">
      <c r="A421" s="3" t="n">
        <v>123</v>
      </c>
      <c r="B421" t="n">
        <v>3</v>
      </c>
      <c r="C421" s="3" t="inlineStr">
        <is>
          <t>Garlic</t>
        </is>
      </c>
      <c r="D421" s="3" t="inlineStr">
        <is>
          <t>106.FRVEG10</t>
        </is>
      </c>
      <c r="E421" s="4" t="n">
        <v>5</v>
      </c>
      <c r="F421" s="5" t="n">
        <v>0.037</v>
      </c>
    </row>
    <row r="422">
      <c r="A422" s="3" t="n">
        <v>123</v>
      </c>
      <c r="B422" t="n">
        <v>4</v>
      </c>
      <c r="C422" s="3" t="inlineStr">
        <is>
          <t>Salt</t>
        </is>
      </c>
      <c r="D422" s="3" t="inlineStr">
        <is>
          <t>107.SPIC13</t>
        </is>
      </c>
      <c r="E422" s="4" t="n">
        <v>2</v>
      </c>
      <c r="F422" s="5" t="n">
        <v>0.00156</v>
      </c>
    </row>
    <row r="423">
      <c r="A423" s="3" t="n">
        <v>123</v>
      </c>
      <c r="B423" t="n">
        <v>5</v>
      </c>
      <c r="C423" s="3" t="inlineStr">
        <is>
          <t>Pepper</t>
        </is>
      </c>
      <c r="D423" s="3" t="inlineStr">
        <is>
          <t>107.SPIC4</t>
        </is>
      </c>
      <c r="E423" s="4" t="n">
        <v>2</v>
      </c>
      <c r="F423" s="5" t="n">
        <v>0.04508</v>
      </c>
    </row>
    <row r="424">
      <c r="A424" s="3" t="n">
        <v>123</v>
      </c>
      <c r="B424" t="n">
        <v>6</v>
      </c>
      <c r="C424" s="3" t="inlineStr">
        <is>
          <t>Fresh chilli</t>
        </is>
      </c>
      <c r="D424" s="3" t="inlineStr">
        <is>
          <t>106.FRVEG154</t>
        </is>
      </c>
      <c r="E424" s="4" t="n">
        <v>10</v>
      </c>
      <c r="F424" s="5" t="n">
        <v>0.09</v>
      </c>
    </row>
    <row r="425">
      <c r="A425" s="3" t="n">
        <v>123</v>
      </c>
      <c r="B425" t="n">
        <v>7</v>
      </c>
      <c r="C425" s="3" t="inlineStr">
        <is>
          <t>White wine</t>
        </is>
      </c>
      <c r="D425" s="3" t="inlineStr">
        <is>
          <t>205.WHIW54</t>
        </is>
      </c>
      <c r="E425" s="4" t="n">
        <v>30</v>
      </c>
      <c r="F425" s="5" t="n">
        <v>0.075</v>
      </c>
    </row>
    <row r="426">
      <c r="A426" s="3" t="n">
        <v>123</v>
      </c>
      <c r="B426" t="n">
        <v>8</v>
      </c>
      <c r="C426" s="3" t="inlineStr">
        <is>
          <t>Fish Stock Batch</t>
        </is>
      </c>
      <c r="D426" s="3" t="inlineStr">
        <is>
          <t>BCH070</t>
        </is>
      </c>
      <c r="E426" s="4" t="n">
        <v>20</v>
      </c>
      <c r="F426" s="5" t="n">
        <v>0</v>
      </c>
    </row>
    <row r="427">
      <c r="A427" s="3" t="n">
        <v>123</v>
      </c>
      <c r="B427" t="n">
        <v>9</v>
      </c>
      <c r="C427" s="3" t="inlineStr">
        <is>
          <t>Fresh parsley</t>
        </is>
      </c>
      <c r="D427" s="3" t="inlineStr">
        <is>
          <t>106.FRVEG42</t>
        </is>
      </c>
      <c r="E427" s="4" t="n">
        <v>5</v>
      </c>
      <c r="F427" s="5" t="n">
        <v>0.0045</v>
      </c>
    </row>
    <row r="428">
      <c r="A428" s="3" t="n">
        <v>123</v>
      </c>
      <c r="B428" t="n">
        <v>10</v>
      </c>
      <c r="C428" s="3" t="inlineStr">
        <is>
          <t>lemons</t>
        </is>
      </c>
      <c r="D428" s="3" t="inlineStr">
        <is>
          <t>106.FRFRU34</t>
        </is>
      </c>
      <c r="E428" s="4" t="n">
        <v>5</v>
      </c>
      <c r="F428" s="5" t="n">
        <v>0.0135</v>
      </c>
    </row>
    <row r="429">
      <c r="A429" s="3" t="n">
        <v>124</v>
      </c>
      <c r="B429" t="n">
        <v>1</v>
      </c>
      <c r="C429" s="3" t="inlineStr">
        <is>
          <t>Tomato</t>
        </is>
      </c>
      <c r="D429" s="3" t="inlineStr">
        <is>
          <t>106.FRVEG13</t>
        </is>
      </c>
      <c r="E429" s="4" t="n">
        <v>150</v>
      </c>
      <c r="F429" s="5" t="n">
        <v>0.39</v>
      </c>
    </row>
    <row r="430">
      <c r="A430" s="3" t="n">
        <v>124</v>
      </c>
      <c r="B430" t="n">
        <v>2</v>
      </c>
      <c r="C430" s="3" t="inlineStr">
        <is>
          <t>cucumber</t>
        </is>
      </c>
      <c r="D430" s="3" t="inlineStr">
        <is>
          <t>106.FRVEG84</t>
        </is>
      </c>
      <c r="E430" s="4" t="n">
        <v>100</v>
      </c>
      <c r="F430" s="5" t="n">
        <v>0.07000000000000001</v>
      </c>
    </row>
    <row r="431">
      <c r="A431" s="3" t="n">
        <v>124</v>
      </c>
      <c r="B431" t="n">
        <v>3</v>
      </c>
      <c r="C431" s="3" t="inlineStr">
        <is>
          <t>Red Onion</t>
        </is>
      </c>
      <c r="D431" s="3" t="inlineStr">
        <is>
          <t>106.FRVEG18</t>
        </is>
      </c>
      <c r="E431" s="4" t="n">
        <v>40</v>
      </c>
      <c r="F431" s="5" t="n">
        <v>0.05</v>
      </c>
    </row>
    <row r="432">
      <c r="A432" s="3" t="n">
        <v>124</v>
      </c>
      <c r="B432" t="n">
        <v>4</v>
      </c>
      <c r="C432" s="3" t="inlineStr">
        <is>
          <t>Bell peppers</t>
        </is>
      </c>
      <c r="D432" s="3" t="inlineStr">
        <is>
          <t>106.FRVEG106</t>
        </is>
      </c>
      <c r="E432" s="4" t="n">
        <v>70</v>
      </c>
      <c r="F432" s="5" t="n">
        <v>0.161</v>
      </c>
    </row>
    <row r="433">
      <c r="A433" s="3" t="n">
        <v>124</v>
      </c>
      <c r="B433" t="n">
        <v>5</v>
      </c>
      <c r="C433" s="3" t="inlineStr">
        <is>
          <t>Red bell peppers</t>
        </is>
      </c>
      <c r="D433" s="3" t="inlineStr">
        <is>
          <t>106.FRVEG106</t>
        </is>
      </c>
      <c r="E433" s="4" t="n">
        <v>50</v>
      </c>
      <c r="F433" s="5" t="n">
        <v>0.185</v>
      </c>
    </row>
    <row r="434">
      <c r="A434" s="3" t="n">
        <v>124</v>
      </c>
      <c r="B434" t="n">
        <v>6</v>
      </c>
      <c r="C434" s="3" t="inlineStr">
        <is>
          <t>Olives</t>
        </is>
      </c>
      <c r="D434" s="3" t="inlineStr">
        <is>
          <t>109.OLI2</t>
        </is>
      </c>
      <c r="E434" s="4" t="n">
        <v>45</v>
      </c>
      <c r="F434" s="5" t="n">
        <v>0.198</v>
      </c>
    </row>
    <row r="435">
      <c r="A435" s="3" t="n">
        <v>124</v>
      </c>
      <c r="B435" t="n">
        <v>7</v>
      </c>
      <c r="C435" s="3" t="inlineStr">
        <is>
          <t>Feta</t>
        </is>
      </c>
      <c r="D435" s="3" t="inlineStr">
        <is>
          <t>106.CHE14</t>
        </is>
      </c>
      <c r="E435" s="4" t="n">
        <v>100</v>
      </c>
      <c r="F435" s="5" t="n">
        <v>1.007</v>
      </c>
    </row>
    <row r="436">
      <c r="A436" s="3" t="n">
        <v>124</v>
      </c>
      <c r="B436" t="n">
        <v>8</v>
      </c>
      <c r="C436" s="3" t="inlineStr">
        <is>
          <t>oregano dried</t>
        </is>
      </c>
      <c r="D436" s="3" t="inlineStr">
        <is>
          <t>106.FRVEG26</t>
        </is>
      </c>
      <c r="E436" s="4" t="n">
        <v>5</v>
      </c>
      <c r="F436" s="5" t="n">
        <v>0.018</v>
      </c>
    </row>
    <row r="437">
      <c r="A437" s="3" t="n">
        <v>124</v>
      </c>
      <c r="B437" t="n">
        <v>9</v>
      </c>
      <c r="C437" s="3" t="inlineStr">
        <is>
          <t>Fresh parsley</t>
        </is>
      </c>
      <c r="D437" s="3" t="inlineStr">
        <is>
          <t>106.FRVEG42</t>
        </is>
      </c>
      <c r="E437" s="4" t="n">
        <v>10</v>
      </c>
      <c r="F437" s="5" t="n">
        <v>0.008999999999999999</v>
      </c>
    </row>
    <row r="438">
      <c r="A438" s="3" t="n">
        <v>124</v>
      </c>
      <c r="B438" t="n">
        <v>10</v>
      </c>
      <c r="C438" s="3" t="inlineStr">
        <is>
          <t>Olive oil</t>
        </is>
      </c>
      <c r="D438" s="3" t="inlineStr">
        <is>
          <t>109.OIL1</t>
        </is>
      </c>
      <c r="E438" s="4" t="n">
        <v>60</v>
      </c>
      <c r="F438" s="5" t="n">
        <v>0.36</v>
      </c>
    </row>
    <row r="439">
      <c r="A439" s="3" t="n">
        <v>124</v>
      </c>
      <c r="B439" t="n">
        <v>11</v>
      </c>
      <c r="C439" s="3" t="inlineStr">
        <is>
          <t>Red Wine Vinigar</t>
        </is>
      </c>
      <c r="D439" s="3" t="inlineStr">
        <is>
          <t>109.VIN7</t>
        </is>
      </c>
      <c r="E439" s="4" t="n">
        <v>5</v>
      </c>
      <c r="F439" s="5" t="n">
        <v>0.0049</v>
      </c>
    </row>
    <row r="440">
      <c r="A440" s="3" t="n">
        <v>125</v>
      </c>
      <c r="B440" t="n">
        <v>1</v>
      </c>
      <c r="C440" s="3" t="inlineStr">
        <is>
          <t>Courgette</t>
        </is>
      </c>
      <c r="D440" s="3" t="inlineStr">
        <is>
          <t>106.FRVEG19</t>
        </is>
      </c>
      <c r="E440" s="4" t="n">
        <v>170</v>
      </c>
      <c r="F440" s="5" t="n">
        <v>0.425</v>
      </c>
    </row>
    <row r="441">
      <c r="A441" s="3" t="n">
        <v>125</v>
      </c>
      <c r="B441" t="n">
        <v>2</v>
      </c>
      <c r="C441" s="3" t="inlineStr">
        <is>
          <t>Radish</t>
        </is>
      </c>
      <c r="D441" s="3" t="inlineStr">
        <is>
          <t>ING006</t>
        </is>
      </c>
      <c r="E441" s="4" t="n">
        <v>20</v>
      </c>
      <c r="F441" s="5" t="n">
        <v>0.064</v>
      </c>
    </row>
    <row r="442">
      <c r="A442" s="3" t="n">
        <v>125</v>
      </c>
      <c r="B442" t="n">
        <v>3</v>
      </c>
      <c r="C442" s="3" t="inlineStr">
        <is>
          <t>Feta</t>
        </is>
      </c>
      <c r="D442" s="3" t="inlineStr">
        <is>
          <t>106.CHE14</t>
        </is>
      </c>
      <c r="E442" s="4" t="n">
        <v>40</v>
      </c>
      <c r="F442" s="5" t="n">
        <v>0.4028</v>
      </c>
    </row>
    <row r="443">
      <c r="A443" s="3" t="n">
        <v>125</v>
      </c>
      <c r="B443" t="n">
        <v>4</v>
      </c>
      <c r="C443" s="3" t="inlineStr">
        <is>
          <t>Olive oil</t>
        </is>
      </c>
      <c r="D443" s="3" t="inlineStr">
        <is>
          <t>109.OIL1</t>
        </is>
      </c>
      <c r="E443" s="4" t="n">
        <v>15</v>
      </c>
      <c r="F443" s="5" t="n">
        <v>0.09</v>
      </c>
    </row>
    <row r="444">
      <c r="A444" s="3" t="n">
        <v>125</v>
      </c>
      <c r="B444" t="n">
        <v>5</v>
      </c>
      <c r="C444" s="3" t="inlineStr">
        <is>
          <t>Lemon juice</t>
        </is>
      </c>
      <c r="D444" s="3" t="inlineStr">
        <is>
          <t>109.LEM1</t>
        </is>
      </c>
      <c r="E444" s="4" t="n">
        <v>5</v>
      </c>
      <c r="F444" s="5" t="n">
        <v>0</v>
      </c>
    </row>
    <row r="445">
      <c r="A445" s="3" t="n">
        <v>125</v>
      </c>
      <c r="B445" t="n">
        <v>6</v>
      </c>
      <c r="C445" s="3" t="inlineStr">
        <is>
          <t>White Wine Vinigar</t>
        </is>
      </c>
      <c r="D445" s="3" t="inlineStr">
        <is>
          <t>109.VIN3</t>
        </is>
      </c>
      <c r="E445" s="4" t="n">
        <v>5</v>
      </c>
      <c r="F445" s="5" t="n">
        <v>0.0051</v>
      </c>
    </row>
    <row r="446">
      <c r="A446" s="3" t="n">
        <v>125</v>
      </c>
      <c r="B446" t="n">
        <v>7</v>
      </c>
      <c r="C446" s="3" t="inlineStr">
        <is>
          <t>Salt</t>
        </is>
      </c>
      <c r="D446" s="3" t="inlineStr">
        <is>
          <t>107.SPIC13</t>
        </is>
      </c>
      <c r="E446" s="4" t="n">
        <v>2</v>
      </c>
      <c r="F446" s="5" t="n">
        <v>0.00156</v>
      </c>
    </row>
    <row r="447">
      <c r="A447" s="3" t="n">
        <v>125</v>
      </c>
      <c r="B447" t="n">
        <v>8</v>
      </c>
      <c r="C447" s="3" t="inlineStr">
        <is>
          <t>Pepper</t>
        </is>
      </c>
      <c r="D447" s="3" t="inlineStr">
        <is>
          <t>107.SPIC4</t>
        </is>
      </c>
      <c r="E447" s="4" t="n">
        <v>2</v>
      </c>
      <c r="F447" s="5" t="n">
        <v>0.04508</v>
      </c>
    </row>
    <row r="448">
      <c r="A448" s="3" t="n">
        <v>128</v>
      </c>
      <c r="B448" t="n">
        <v>1</v>
      </c>
      <c r="C448" s="3" t="inlineStr">
        <is>
          <t>Octopus</t>
        </is>
      </c>
      <c r="D448" s="3" t="inlineStr">
        <is>
          <t>102.SEA7</t>
        </is>
      </c>
      <c r="E448" s="4" t="n">
        <v>250</v>
      </c>
      <c r="F448" s="5" t="n">
        <v>4.625</v>
      </c>
    </row>
    <row r="449">
      <c r="A449" s="3" t="n">
        <v>128</v>
      </c>
      <c r="B449" t="n">
        <v>2</v>
      </c>
      <c r="C449" s="3" t="inlineStr">
        <is>
          <t>White onions</t>
        </is>
      </c>
      <c r="D449" s="3" t="inlineStr">
        <is>
          <t>106.FRVEG56</t>
        </is>
      </c>
      <c r="E449" s="4" t="n">
        <v>50</v>
      </c>
      <c r="F449" s="5" t="n">
        <v>0.0675</v>
      </c>
    </row>
    <row r="450">
      <c r="A450" s="3" t="n">
        <v>128</v>
      </c>
      <c r="B450" t="n">
        <v>3</v>
      </c>
      <c r="C450" s="3" t="inlineStr">
        <is>
          <t>bay leave</t>
        </is>
      </c>
      <c r="D450" s="3" t="inlineStr">
        <is>
          <t>107.SPIC41</t>
        </is>
      </c>
      <c r="E450" s="4" t="n">
        <v>2</v>
      </c>
      <c r="F450" s="5" t="n">
        <v>0</v>
      </c>
    </row>
    <row r="451">
      <c r="A451" s="3" t="n">
        <v>128</v>
      </c>
      <c r="B451" t="n">
        <v>4</v>
      </c>
      <c r="C451" s="3" t="inlineStr">
        <is>
          <t>coriander seed</t>
        </is>
      </c>
      <c r="D451" s="3" t="inlineStr">
        <is>
          <t>107.SPIC11</t>
        </is>
      </c>
      <c r="E451" s="4" t="n">
        <v>2.5</v>
      </c>
      <c r="F451" s="5" t="n">
        <v>0</v>
      </c>
    </row>
    <row r="452">
      <c r="A452" s="3" t="n">
        <v>128</v>
      </c>
      <c r="B452" t="n">
        <v>5</v>
      </c>
      <c r="C452" s="3" t="inlineStr">
        <is>
          <t>garlic</t>
        </is>
      </c>
      <c r="D452" s="3" t="inlineStr">
        <is>
          <t>106.FRVEG10</t>
        </is>
      </c>
      <c r="E452" s="4" t="n">
        <v>5</v>
      </c>
      <c r="F452" s="5" t="n">
        <v>0.037</v>
      </c>
    </row>
    <row r="453">
      <c r="A453" s="3" t="n">
        <v>128</v>
      </c>
      <c r="B453" t="n">
        <v>6</v>
      </c>
      <c r="C453" s="3" t="inlineStr">
        <is>
          <t>Celery</t>
        </is>
      </c>
      <c r="D453" s="3" t="inlineStr">
        <is>
          <t>106.FRVEG16</t>
        </is>
      </c>
      <c r="E453" s="4" t="n">
        <v>25</v>
      </c>
      <c r="F453" s="5" t="n">
        <v>0.0725</v>
      </c>
    </row>
    <row r="454">
      <c r="A454" s="3" t="n">
        <v>128</v>
      </c>
      <c r="B454" t="n">
        <v>7</v>
      </c>
      <c r="C454" s="3" t="inlineStr">
        <is>
          <t>Red wine</t>
        </is>
      </c>
      <c r="D454" s="3" t="inlineStr">
        <is>
          <t>205.REDW49</t>
        </is>
      </c>
      <c r="E454" s="4" t="n">
        <v>45</v>
      </c>
      <c r="F454" s="5" t="n">
        <v>0.1125</v>
      </c>
    </row>
    <row r="455">
      <c r="A455" s="3" t="n">
        <v>128</v>
      </c>
      <c r="B455" t="n">
        <v>8</v>
      </c>
      <c r="C455" s="3" t="inlineStr">
        <is>
          <t>Water</t>
        </is>
      </c>
      <c r="D455" s="3" t="inlineStr">
        <is>
          <t>201.WAT17</t>
        </is>
      </c>
      <c r="E455" s="4" t="n">
        <v>45</v>
      </c>
      <c r="F455" s="5" t="n">
        <v>0.00855</v>
      </c>
    </row>
    <row r="456">
      <c r="A456" s="3" t="n">
        <v>129</v>
      </c>
      <c r="B456" t="n">
        <v>1</v>
      </c>
      <c r="C456" s="3" t="inlineStr">
        <is>
          <t>Pork loin</t>
        </is>
      </c>
      <c r="D456" s="3" t="inlineStr">
        <is>
          <t>ING024</t>
        </is>
      </c>
      <c r="E456" s="4" t="n">
        <v>250</v>
      </c>
      <c r="F456" s="5" t="n">
        <v>2.35</v>
      </c>
    </row>
    <row r="457">
      <c r="A457" s="3" t="n">
        <v>129</v>
      </c>
      <c r="B457" t="n">
        <v>2</v>
      </c>
      <c r="C457" s="3" t="inlineStr">
        <is>
          <t>Olive oil</t>
        </is>
      </c>
      <c r="D457" s="3" t="inlineStr">
        <is>
          <t>109.OIL1</t>
        </is>
      </c>
      <c r="E457" s="4" t="n">
        <v>5</v>
      </c>
      <c r="F457" s="5" t="n">
        <v>0.03</v>
      </c>
    </row>
    <row r="458">
      <c r="A458" s="3" t="n">
        <v>129</v>
      </c>
      <c r="B458" t="n">
        <v>3</v>
      </c>
      <c r="C458" s="3" t="inlineStr">
        <is>
          <t>Garlic</t>
        </is>
      </c>
      <c r="D458" s="3" t="inlineStr">
        <is>
          <t>106.FRVEG10</t>
        </is>
      </c>
      <c r="E458" s="4" t="n">
        <v>5</v>
      </c>
      <c r="F458" s="5" t="n">
        <v>0.037</v>
      </c>
    </row>
    <row r="459">
      <c r="A459" s="3" t="n">
        <v>129</v>
      </c>
      <c r="B459" t="n">
        <v>4</v>
      </c>
      <c r="C459" s="3" t="inlineStr">
        <is>
          <t>Salt</t>
        </is>
      </c>
      <c r="D459" s="3" t="inlineStr">
        <is>
          <t>107.SPIC13</t>
        </is>
      </c>
      <c r="E459" s="4" t="n">
        <v>2</v>
      </c>
      <c r="F459" s="5" t="n">
        <v>0.00156</v>
      </c>
    </row>
    <row r="460">
      <c r="A460" s="3" t="n">
        <v>129</v>
      </c>
      <c r="B460" t="n">
        <v>5</v>
      </c>
      <c r="C460" s="3" t="inlineStr">
        <is>
          <t>Pepper</t>
        </is>
      </c>
      <c r="D460" s="3" t="inlineStr">
        <is>
          <t>107.SPIC4</t>
        </is>
      </c>
      <c r="E460" s="4" t="n">
        <v>2</v>
      </c>
      <c r="F460" s="5" t="n">
        <v>0.04508</v>
      </c>
    </row>
    <row r="461">
      <c r="A461" s="3" t="n">
        <v>129</v>
      </c>
      <c r="B461" t="n">
        <v>6</v>
      </c>
      <c r="C461" s="3" t="inlineStr">
        <is>
          <t>paprika</t>
        </is>
      </c>
      <c r="D461" s="3" t="inlineStr">
        <is>
          <t>107.SPIC32</t>
        </is>
      </c>
      <c r="E461" s="4" t="n">
        <v>2</v>
      </c>
      <c r="F461" s="5" t="n">
        <v>0.021</v>
      </c>
    </row>
    <row r="462">
      <c r="A462" s="3" t="n">
        <v>129</v>
      </c>
      <c r="B462" t="n">
        <v>7</v>
      </c>
      <c r="C462" s="3" t="inlineStr">
        <is>
          <t>thyme</t>
        </is>
      </c>
      <c r="D462" s="3" t="inlineStr">
        <is>
          <t>ING011</t>
        </is>
      </c>
      <c r="E462" s="4" t="n">
        <v>2</v>
      </c>
      <c r="F462" s="5" t="n">
        <v>0.004</v>
      </c>
    </row>
    <row r="463">
      <c r="A463" s="3" t="n">
        <v>130</v>
      </c>
      <c r="B463" t="n">
        <v>1</v>
      </c>
      <c r="C463" s="3" t="inlineStr">
        <is>
          <t>Vegetable Mousaka Batch</t>
        </is>
      </c>
      <c r="D463" s="3" t="inlineStr">
        <is>
          <t>BCH064</t>
        </is>
      </c>
      <c r="E463" s="4" t="n">
        <v>200</v>
      </c>
      <c r="F463" s="5" t="n">
        <v>0.4602060086</v>
      </c>
    </row>
    <row r="464">
      <c r="A464" s="3" t="n">
        <v>132</v>
      </c>
      <c r="B464" t="n">
        <v>1</v>
      </c>
      <c r="C464" s="3" t="inlineStr">
        <is>
          <t>Squid</t>
        </is>
      </c>
      <c r="D464" s="3" t="inlineStr">
        <is>
          <t>102.SEA17</t>
        </is>
      </c>
      <c r="E464" s="4" t="n">
        <v>50</v>
      </c>
      <c r="F464" s="5" t="n">
        <v>0.75</v>
      </c>
    </row>
    <row r="465">
      <c r="A465" s="3" t="n">
        <v>132</v>
      </c>
      <c r="B465" t="n">
        <v>2</v>
      </c>
      <c r="C465" s="3" t="inlineStr">
        <is>
          <t>mussels</t>
        </is>
      </c>
      <c r="D465" s="3" t="inlineStr">
        <is>
          <t>102.SEA30</t>
        </is>
      </c>
      <c r="E465" s="4" t="n">
        <v>100</v>
      </c>
      <c r="F465" s="5" t="n">
        <v>0.85</v>
      </c>
    </row>
    <row r="466">
      <c r="A466" s="3" t="n">
        <v>132</v>
      </c>
      <c r="B466" t="n">
        <v>3</v>
      </c>
      <c r="C466" s="3" t="inlineStr">
        <is>
          <t>Prawns</t>
        </is>
      </c>
      <c r="D466" s="3" t="inlineStr">
        <is>
          <t>102.SEA14</t>
        </is>
      </c>
      <c r="E466" s="4" t="n">
        <v>80</v>
      </c>
      <c r="F466" s="5" t="n">
        <v>1.28</v>
      </c>
    </row>
    <row r="467">
      <c r="A467" s="3" t="n">
        <v>132</v>
      </c>
      <c r="B467" t="n">
        <v>4</v>
      </c>
      <c r="C467" s="3" t="inlineStr">
        <is>
          <t>White fish fillet</t>
        </is>
      </c>
      <c r="D467" s="3" t="inlineStr"/>
      <c r="E467" s="4" t="n">
        <v>120</v>
      </c>
      <c r="F467" s="5" t="n"/>
    </row>
    <row r="468">
      <c r="A468" s="3" t="n">
        <v>132</v>
      </c>
      <c r="B468" t="n">
        <v>5</v>
      </c>
      <c r="C468" s="3" t="inlineStr">
        <is>
          <t>Olive oil</t>
        </is>
      </c>
      <c r="D468" s="3" t="inlineStr">
        <is>
          <t>109.OIL1</t>
        </is>
      </c>
      <c r="E468" s="4" t="n">
        <v>15</v>
      </c>
      <c r="F468" s="5" t="n">
        <v>0.09</v>
      </c>
    </row>
    <row r="469">
      <c r="A469" s="3" t="n">
        <v>132</v>
      </c>
      <c r="B469" t="n">
        <v>6</v>
      </c>
      <c r="C469" s="3" t="inlineStr">
        <is>
          <t>Fish Stock Batch</t>
        </is>
      </c>
      <c r="D469" s="3" t="inlineStr">
        <is>
          <t>BCH070</t>
        </is>
      </c>
      <c r="E469" s="4" t="n">
        <v>170</v>
      </c>
      <c r="F469" s="5" t="n">
        <v>0</v>
      </c>
    </row>
    <row r="470">
      <c r="A470" s="3" t="n">
        <v>133</v>
      </c>
      <c r="B470" t="n">
        <v>1</v>
      </c>
      <c r="C470" s="3" t="inlineStr">
        <is>
          <t>Chicken breast</t>
        </is>
      </c>
      <c r="D470" s="3" t="inlineStr">
        <is>
          <t>101.CHI9</t>
        </is>
      </c>
      <c r="E470" s="4" t="n">
        <v>200</v>
      </c>
      <c r="F470" s="5" t="n">
        <v>1.36</v>
      </c>
    </row>
    <row r="471">
      <c r="A471" s="3" t="n">
        <v>133</v>
      </c>
      <c r="B471" t="n">
        <v>2</v>
      </c>
      <c r="C471" s="3" t="inlineStr">
        <is>
          <t>Shallots</t>
        </is>
      </c>
      <c r="D471" s="3" t="inlineStr">
        <is>
          <t>ING005</t>
        </is>
      </c>
      <c r="E471" s="4" t="n">
        <v>60</v>
      </c>
      <c r="F471" s="5" t="n">
        <v>0</v>
      </c>
    </row>
    <row r="472">
      <c r="A472" s="3" t="n">
        <v>133</v>
      </c>
      <c r="B472" t="n">
        <v>3</v>
      </c>
      <c r="C472" s="3" t="inlineStr">
        <is>
          <t>Potatoes</t>
        </is>
      </c>
      <c r="D472" s="3" t="inlineStr">
        <is>
          <t>106.FRVEG23</t>
        </is>
      </c>
      <c r="E472" s="4" t="n">
        <v>70</v>
      </c>
      <c r="F472" s="5" t="n">
        <v>0.112</v>
      </c>
    </row>
    <row r="473">
      <c r="A473" s="3" t="n">
        <v>133</v>
      </c>
      <c r="B473" t="n">
        <v>4</v>
      </c>
      <c r="C473" s="3" t="inlineStr">
        <is>
          <t>Olive oil</t>
        </is>
      </c>
      <c r="D473" s="3" t="inlineStr">
        <is>
          <t>109.OIL1</t>
        </is>
      </c>
      <c r="E473" s="4" t="n">
        <v>15</v>
      </c>
      <c r="F473" s="5" t="n">
        <v>0.09</v>
      </c>
    </row>
    <row r="474">
      <c r="A474" s="3" t="n">
        <v>133</v>
      </c>
      <c r="B474" t="n">
        <v>5</v>
      </c>
      <c r="C474" s="3" t="inlineStr">
        <is>
          <t>Garlic</t>
        </is>
      </c>
      <c r="D474" s="3" t="inlineStr">
        <is>
          <t>106.FRVEG10</t>
        </is>
      </c>
      <c r="E474" s="4" t="n">
        <v>15</v>
      </c>
      <c r="F474" s="5" t="n">
        <v>0.111</v>
      </c>
    </row>
    <row r="475">
      <c r="A475" s="3" t="n">
        <v>133</v>
      </c>
      <c r="B475" t="n">
        <v>6</v>
      </c>
      <c r="C475" s="3" t="inlineStr">
        <is>
          <t>Garlic</t>
        </is>
      </c>
      <c r="D475" s="3" t="inlineStr">
        <is>
          <t>106.FRVEG10</t>
        </is>
      </c>
      <c r="E475" s="4" t="n">
        <v>15</v>
      </c>
      <c r="F475" s="5" t="n">
        <v>0.111</v>
      </c>
    </row>
    <row r="476">
      <c r="A476" s="3" t="n">
        <v>133</v>
      </c>
      <c r="B476" t="n">
        <v>7</v>
      </c>
      <c r="C476" s="3" t="inlineStr">
        <is>
          <t>Red wine</t>
        </is>
      </c>
      <c r="D476" s="3" t="inlineStr">
        <is>
          <t>205.REDW49</t>
        </is>
      </c>
      <c r="E476" s="4" t="n">
        <v>150</v>
      </c>
      <c r="F476" s="5" t="n">
        <v>0.375</v>
      </c>
    </row>
    <row r="477">
      <c r="A477" s="3" t="n">
        <v>133</v>
      </c>
      <c r="B477" t="n">
        <v>8</v>
      </c>
      <c r="C477" s="3" t="inlineStr">
        <is>
          <t>Tomato Passata</t>
        </is>
      </c>
      <c r="D477" s="3" t="inlineStr">
        <is>
          <t>ING025</t>
        </is>
      </c>
      <c r="E477" s="4" t="n">
        <v>400</v>
      </c>
      <c r="F477" s="5" t="n">
        <v>0</v>
      </c>
    </row>
    <row r="478">
      <c r="A478" s="3" t="n">
        <v>133</v>
      </c>
      <c r="B478" t="n">
        <v>9</v>
      </c>
      <c r="C478" s="3" t="inlineStr">
        <is>
          <t>Red Wine Vinigar</t>
        </is>
      </c>
      <c r="D478" s="3" t="inlineStr">
        <is>
          <t>109.VIN7</t>
        </is>
      </c>
      <c r="E478" s="4" t="n">
        <v>5</v>
      </c>
      <c r="F478" s="5" t="n">
        <v>0.0049</v>
      </c>
    </row>
    <row r="479">
      <c r="A479" s="3" t="n">
        <v>133</v>
      </c>
      <c r="B479" t="n">
        <v>10</v>
      </c>
      <c r="C479" s="3" t="inlineStr">
        <is>
          <t>Bay leave</t>
        </is>
      </c>
      <c r="D479" s="3" t="inlineStr">
        <is>
          <t>107.SPIC41</t>
        </is>
      </c>
      <c r="E479" s="4" t="n">
        <v>5</v>
      </c>
      <c r="F479" s="5" t="n">
        <v>0</v>
      </c>
    </row>
    <row r="480">
      <c r="A480" s="3" t="n">
        <v>133</v>
      </c>
      <c r="B480" t="n">
        <v>11</v>
      </c>
      <c r="C480" s="3" t="inlineStr">
        <is>
          <t>Cinnamon</t>
        </is>
      </c>
      <c r="D480" s="3" t="inlineStr">
        <is>
          <t>ING023</t>
        </is>
      </c>
      <c r="E480" s="4" t="n">
        <v>5</v>
      </c>
      <c r="F480" s="5" t="n">
        <v>0.0371</v>
      </c>
    </row>
    <row r="481">
      <c r="A481" s="3" t="n">
        <v>134</v>
      </c>
      <c r="B481" t="n">
        <v>1</v>
      </c>
      <c r="C481" s="3" t="inlineStr">
        <is>
          <t>Squid</t>
        </is>
      </c>
      <c r="D481" s="3" t="inlineStr">
        <is>
          <t>102.SEA17</t>
        </is>
      </c>
      <c r="E481" s="4" t="n">
        <v>150</v>
      </c>
      <c r="F481" s="5" t="n">
        <v>2.25</v>
      </c>
    </row>
    <row r="482">
      <c r="A482" s="3" t="n">
        <v>134</v>
      </c>
      <c r="B482" t="n">
        <v>2</v>
      </c>
      <c r="C482" s="3" t="inlineStr">
        <is>
          <t>Milk</t>
        </is>
      </c>
      <c r="D482" s="3" t="inlineStr">
        <is>
          <t>106.MILK24</t>
        </is>
      </c>
      <c r="E482" s="4" t="n">
        <v>100</v>
      </c>
      <c r="F482" s="5" t="n">
        <v>0.116</v>
      </c>
    </row>
    <row r="483">
      <c r="A483" s="3" t="n">
        <v>134</v>
      </c>
      <c r="B483" t="n">
        <v>3</v>
      </c>
      <c r="C483" s="3" t="inlineStr">
        <is>
          <t>Flour</t>
        </is>
      </c>
      <c r="D483" s="3" t="inlineStr">
        <is>
          <t>107.FLO1</t>
        </is>
      </c>
      <c r="E483" s="4" t="n">
        <v>50</v>
      </c>
      <c r="F483" s="5" t="n">
        <v>0.043</v>
      </c>
    </row>
    <row r="484">
      <c r="A484" s="3" t="n">
        <v>134</v>
      </c>
      <c r="B484" t="n">
        <v>4</v>
      </c>
      <c r="C484" s="3" t="inlineStr">
        <is>
          <t>semolina</t>
        </is>
      </c>
      <c r="D484" s="3" t="inlineStr">
        <is>
          <t>107.PAST12</t>
        </is>
      </c>
      <c r="E484" s="4" t="n">
        <v>50</v>
      </c>
      <c r="F484" s="5" t="n">
        <v>0.119</v>
      </c>
    </row>
    <row r="485">
      <c r="A485" s="3" t="n">
        <v>134</v>
      </c>
      <c r="B485" t="n">
        <v>5</v>
      </c>
      <c r="C485" s="3" t="inlineStr">
        <is>
          <t>Cornstarch</t>
        </is>
      </c>
      <c r="D485" s="3" t="inlineStr">
        <is>
          <t>ING036</t>
        </is>
      </c>
      <c r="E485" s="4" t="n">
        <v>20</v>
      </c>
      <c r="F485" s="5" t="n"/>
    </row>
    <row r="486">
      <c r="A486" s="3" t="n">
        <v>134</v>
      </c>
      <c r="B486" t="n">
        <v>6</v>
      </c>
      <c r="C486" s="3" t="inlineStr">
        <is>
          <t>Turmeric powder</t>
        </is>
      </c>
      <c r="D486" s="3" t="inlineStr"/>
      <c r="E486" s="4" t="n">
        <v>2</v>
      </c>
      <c r="F486" s="5" t="n"/>
    </row>
    <row r="487">
      <c r="A487" s="3" t="n">
        <v>134</v>
      </c>
      <c r="B487" t="n">
        <v>7</v>
      </c>
      <c r="C487" s="3" t="inlineStr">
        <is>
          <t>Salt</t>
        </is>
      </c>
      <c r="D487" s="3" t="inlineStr">
        <is>
          <t>107.SPIC13</t>
        </is>
      </c>
      <c r="E487" s="4" t="n">
        <v>2</v>
      </c>
      <c r="F487" s="5" t="n">
        <v>0.00156</v>
      </c>
    </row>
    <row r="488">
      <c r="A488" s="3" t="n">
        <v>134</v>
      </c>
      <c r="B488" t="n">
        <v>8</v>
      </c>
      <c r="C488" s="3" t="inlineStr">
        <is>
          <t>Pepper</t>
        </is>
      </c>
      <c r="D488" s="3" t="inlineStr">
        <is>
          <t>107.SPIC4</t>
        </is>
      </c>
      <c r="E488" s="4" t="n">
        <v>2</v>
      </c>
      <c r="F488" s="5" t="n">
        <v>0.04508</v>
      </c>
    </row>
    <row r="489">
      <c r="A489" s="3" t="n">
        <v>134</v>
      </c>
      <c r="B489" t="n">
        <v>9</v>
      </c>
      <c r="C489" s="3" t="inlineStr">
        <is>
          <t>Paprika</t>
        </is>
      </c>
      <c r="D489" s="3" t="inlineStr">
        <is>
          <t>107.SPIC32</t>
        </is>
      </c>
      <c r="E489" s="4" t="n">
        <v>2</v>
      </c>
      <c r="F489" s="5" t="n">
        <v>0.021</v>
      </c>
    </row>
    <row r="490">
      <c r="A490" s="3" t="n">
        <v>135</v>
      </c>
      <c r="B490" t="n">
        <v>1</v>
      </c>
      <c r="C490" s="3" t="inlineStr">
        <is>
          <t>Sea Bass Fillet</t>
        </is>
      </c>
      <c r="D490" s="3" t="inlineStr">
        <is>
          <t>BCH011</t>
        </is>
      </c>
      <c r="E490" s="4" t="n">
        <v>200</v>
      </c>
      <c r="F490" s="5" t="n">
        <v>6.5</v>
      </c>
    </row>
    <row r="491">
      <c r="A491" s="3" t="n">
        <v>135</v>
      </c>
      <c r="B491" t="n">
        <v>2</v>
      </c>
      <c r="C491" s="3" t="inlineStr">
        <is>
          <t>Olive oil</t>
        </is>
      </c>
      <c r="D491" s="3" t="inlineStr">
        <is>
          <t>109.OIL1</t>
        </is>
      </c>
      <c r="E491" s="4" t="n">
        <v>5</v>
      </c>
      <c r="F491" s="5" t="n">
        <v>0.03</v>
      </c>
    </row>
    <row r="492">
      <c r="A492" s="3" t="n">
        <v>135</v>
      </c>
      <c r="B492" t="n">
        <v>3</v>
      </c>
      <c r="C492" s="3" t="inlineStr">
        <is>
          <t>Lemon juice</t>
        </is>
      </c>
      <c r="D492" s="3" t="inlineStr">
        <is>
          <t>109.LEM1</t>
        </is>
      </c>
      <c r="E492" s="4" t="n">
        <v>5</v>
      </c>
      <c r="F492" s="5" t="n">
        <v>0</v>
      </c>
    </row>
    <row r="493">
      <c r="A493" s="3" t="n">
        <v>135</v>
      </c>
      <c r="B493" t="n">
        <v>4</v>
      </c>
      <c r="C493" s="3" t="inlineStr">
        <is>
          <t>Garlic</t>
        </is>
      </c>
      <c r="D493" s="3" t="inlineStr">
        <is>
          <t>106.FRVEG10</t>
        </is>
      </c>
      <c r="E493" s="4" t="n">
        <v>5</v>
      </c>
      <c r="F493" s="5" t="n">
        <v>0.037</v>
      </c>
    </row>
    <row r="494">
      <c r="A494" s="3" t="n">
        <v>135</v>
      </c>
      <c r="B494" t="n">
        <v>5</v>
      </c>
      <c r="C494" s="3" t="inlineStr">
        <is>
          <t>Fresh oregano</t>
        </is>
      </c>
      <c r="D494" s="3" t="inlineStr">
        <is>
          <t>106.FRVEG26</t>
        </is>
      </c>
      <c r="E494" s="4" t="n">
        <v>5</v>
      </c>
      <c r="F494" s="5" t="n">
        <v>0.01</v>
      </c>
    </row>
    <row r="495">
      <c r="A495" s="3" t="n">
        <v>135</v>
      </c>
      <c r="B495" t="n">
        <v>6</v>
      </c>
      <c r="C495" s="3" t="inlineStr">
        <is>
          <t>Olive oil</t>
        </is>
      </c>
      <c r="D495" s="3" t="inlineStr">
        <is>
          <t>109.OIL1</t>
        </is>
      </c>
      <c r="E495" s="4" t="n">
        <v>5</v>
      </c>
      <c r="F495" s="5" t="n">
        <v>0.03</v>
      </c>
    </row>
    <row r="496">
      <c r="A496" s="3" t="n">
        <v>135</v>
      </c>
      <c r="B496" t="n">
        <v>7</v>
      </c>
      <c r="C496" s="3" t="inlineStr">
        <is>
          <t>Salt</t>
        </is>
      </c>
      <c r="D496" s="3" t="inlineStr">
        <is>
          <t>107.SPIC13</t>
        </is>
      </c>
      <c r="E496" s="4" t="n">
        <v>2</v>
      </c>
      <c r="F496" s="5" t="n">
        <v>0.00156</v>
      </c>
    </row>
    <row r="497">
      <c r="A497" s="3" t="n">
        <v>135</v>
      </c>
      <c r="B497" t="n">
        <v>8</v>
      </c>
      <c r="C497" s="3" t="inlineStr">
        <is>
          <t>Wild rice</t>
        </is>
      </c>
      <c r="D497" s="3" t="inlineStr">
        <is>
          <t>ING037</t>
        </is>
      </c>
      <c r="E497" s="4" t="n">
        <v>75</v>
      </c>
      <c r="F497" s="5" t="n">
        <v>0</v>
      </c>
    </row>
    <row r="498">
      <c r="A498" s="3" t="n">
        <v>135</v>
      </c>
      <c r="B498" t="n">
        <v>9</v>
      </c>
      <c r="C498" s="3" t="inlineStr">
        <is>
          <t>stock</t>
        </is>
      </c>
      <c r="D498" s="3" t="inlineStr">
        <is>
          <t>BCH051</t>
        </is>
      </c>
      <c r="E498" s="4" t="n">
        <v>200</v>
      </c>
      <c r="F498" s="5" t="n">
        <v>0</v>
      </c>
    </row>
    <row r="499">
      <c r="A499" s="3" t="n">
        <v>135</v>
      </c>
      <c r="B499" t="n">
        <v>10</v>
      </c>
      <c r="C499" s="3" t="inlineStr">
        <is>
          <t>Salt</t>
        </is>
      </c>
      <c r="D499" s="3" t="inlineStr">
        <is>
          <t>107.SPIC13</t>
        </is>
      </c>
      <c r="E499" s="4" t="n">
        <v>2</v>
      </c>
      <c r="F499" s="5" t="n">
        <v>0.00156</v>
      </c>
    </row>
    <row r="500">
      <c r="A500" s="3" t="n">
        <v>135</v>
      </c>
      <c r="B500" t="n">
        <v>11</v>
      </c>
      <c r="C500" s="3" t="inlineStr">
        <is>
          <t>Olive oil</t>
        </is>
      </c>
      <c r="D500" s="3" t="inlineStr">
        <is>
          <t>109.OIL1</t>
        </is>
      </c>
      <c r="E500" s="4" t="n">
        <v>5</v>
      </c>
      <c r="F500" s="5" t="n">
        <v>0.03</v>
      </c>
    </row>
    <row r="501">
      <c r="A501" s="3" t="n">
        <v>136</v>
      </c>
      <c r="B501" t="n">
        <v>1</v>
      </c>
      <c r="C501" s="3" t="inlineStr">
        <is>
          <t>Cauliflower</t>
        </is>
      </c>
      <c r="D501" s="3" t="inlineStr">
        <is>
          <t>103.VEG18</t>
        </is>
      </c>
      <c r="E501" s="4" t="n">
        <v>315</v>
      </c>
      <c r="F501" s="5" t="n">
        <v>0.7245</v>
      </c>
    </row>
    <row r="502">
      <c r="A502" s="3" t="n">
        <v>136</v>
      </c>
      <c r="B502" t="n">
        <v>2</v>
      </c>
      <c r="C502" s="3" t="inlineStr">
        <is>
          <t>Olive oil</t>
        </is>
      </c>
      <c r="D502" s="3" t="inlineStr">
        <is>
          <t>109.OIL1</t>
        </is>
      </c>
      <c r="E502" s="4" t="n">
        <v>10</v>
      </c>
      <c r="F502" s="5" t="n">
        <v>0.06</v>
      </c>
    </row>
    <row r="503">
      <c r="A503" s="3" t="n">
        <v>136</v>
      </c>
      <c r="B503" t="n">
        <v>3</v>
      </c>
      <c r="C503" s="3" t="inlineStr">
        <is>
          <t>Thyme</t>
        </is>
      </c>
      <c r="D503" s="3" t="inlineStr">
        <is>
          <t>ING011</t>
        </is>
      </c>
      <c r="E503" s="4" t="n">
        <v>5</v>
      </c>
      <c r="F503" s="5" t="n">
        <v>0.01</v>
      </c>
    </row>
    <row r="504">
      <c r="A504" s="3" t="n">
        <v>136</v>
      </c>
      <c r="B504" t="n">
        <v>4</v>
      </c>
      <c r="C504" s="3" t="inlineStr">
        <is>
          <t>Salt</t>
        </is>
      </c>
      <c r="D504" s="3" t="inlineStr">
        <is>
          <t>107.SPIC13</t>
        </is>
      </c>
      <c r="E504" s="4" t="n">
        <v>2</v>
      </c>
      <c r="F504" s="5" t="n">
        <v>0.00156</v>
      </c>
    </row>
    <row r="505">
      <c r="A505" s="3" t="n">
        <v>136</v>
      </c>
      <c r="B505" t="n">
        <v>5</v>
      </c>
      <c r="C505" s="3" t="inlineStr">
        <is>
          <t>Pepper</t>
        </is>
      </c>
      <c r="D505" s="3" t="inlineStr">
        <is>
          <t>107.SPIC4</t>
        </is>
      </c>
      <c r="E505" s="4" t="n">
        <v>2</v>
      </c>
      <c r="F505" s="5" t="n">
        <v>0.04508</v>
      </c>
    </row>
    <row r="506">
      <c r="A506" s="3" t="n">
        <v>136</v>
      </c>
      <c r="B506" t="n">
        <v>6</v>
      </c>
      <c r="C506" s="3" t="inlineStr">
        <is>
          <t>Romanesco Sauce Batch</t>
        </is>
      </c>
      <c r="D506" s="3" t="inlineStr">
        <is>
          <t>BCH057</t>
        </is>
      </c>
      <c r="E506" s="4" t="n">
        <v>125</v>
      </c>
      <c r="F506" s="5" t="n">
        <v>0</v>
      </c>
    </row>
    <row r="507">
      <c r="A507" s="3" t="n">
        <v>136</v>
      </c>
      <c r="B507" t="n">
        <v>7</v>
      </c>
      <c r="C507" s="3" t="inlineStr">
        <is>
          <t>flaked almonds</t>
        </is>
      </c>
      <c r="D507" s="3" t="inlineStr">
        <is>
          <t>107.NUT1</t>
        </is>
      </c>
      <c r="E507" s="4" t="n">
        <v>15</v>
      </c>
      <c r="F507" s="5" t="n">
        <v>0.195</v>
      </c>
    </row>
    <row r="508">
      <c r="A508" s="3" t="n">
        <v>136</v>
      </c>
      <c r="B508" t="n">
        <v>8</v>
      </c>
      <c r="C508" s="3" t="inlineStr">
        <is>
          <t>pomegranate seeds</t>
        </is>
      </c>
      <c r="D508" s="3" t="inlineStr">
        <is>
          <t>106.FRFRU6</t>
        </is>
      </c>
      <c r="E508" s="4" t="n">
        <v>20</v>
      </c>
      <c r="F508" s="5" t="n">
        <v>0.148</v>
      </c>
    </row>
    <row r="509">
      <c r="A509" s="3" t="n">
        <v>136</v>
      </c>
      <c r="B509" t="n">
        <v>9</v>
      </c>
      <c r="C509" s="3" t="inlineStr">
        <is>
          <t>lemon zest</t>
        </is>
      </c>
      <c r="D509" s="3" t="inlineStr">
        <is>
          <t>106.FRVEG27</t>
        </is>
      </c>
      <c r="E509" s="4" t="n">
        <v>5</v>
      </c>
      <c r="F509" s="5" t="n">
        <v>0.0135</v>
      </c>
    </row>
    <row r="510">
      <c r="A510" s="3" t="n">
        <v>138</v>
      </c>
      <c r="B510" t="n">
        <v>1</v>
      </c>
      <c r="C510" s="3" t="inlineStr">
        <is>
          <t>MN Gyros Pork Marinade Special Batch</t>
        </is>
      </c>
      <c r="D510" s="3" t="inlineStr">
        <is>
          <t>BCH078</t>
        </is>
      </c>
      <c r="E510" s="4" t="n">
        <v>130</v>
      </c>
      <c r="F510" s="5" t="n">
        <v>1.3481</v>
      </c>
    </row>
    <row r="511">
      <c r="A511" s="3" t="n">
        <v>138</v>
      </c>
      <c r="B511" t="n">
        <v>2</v>
      </c>
      <c r="C511" s="3" t="inlineStr">
        <is>
          <t>Pitta Bread</t>
        </is>
      </c>
      <c r="D511" s="3" t="inlineStr">
        <is>
          <t>ING008</t>
        </is>
      </c>
      <c r="E511" s="4" t="n">
        <v>1</v>
      </c>
      <c r="F511" s="5" t="n">
        <v>0.00021</v>
      </c>
    </row>
    <row r="512">
      <c r="A512" s="3" t="n">
        <v>138</v>
      </c>
      <c r="B512" t="n">
        <v>3</v>
      </c>
      <c r="C512" s="3" t="inlineStr">
        <is>
          <t>Tzatsiki batch</t>
        </is>
      </c>
      <c r="D512" s="3" t="inlineStr">
        <is>
          <t>BCH020</t>
        </is>
      </c>
      <c r="E512" s="4" t="n">
        <v>80</v>
      </c>
      <c r="F512" s="5" t="n">
        <v>0.2628571429</v>
      </c>
    </row>
    <row r="513">
      <c r="A513" s="3" t="n">
        <v>138</v>
      </c>
      <c r="B513" t="n">
        <v>4</v>
      </c>
      <c r="C513" s="3" t="inlineStr">
        <is>
          <t>Tomato</t>
        </is>
      </c>
      <c r="D513" s="3" t="inlineStr">
        <is>
          <t>106.FRVEG13</t>
        </is>
      </c>
      <c r="E513" s="4" t="n">
        <v>50</v>
      </c>
      <c r="F513" s="5" t="n">
        <v>0.13</v>
      </c>
    </row>
    <row r="514">
      <c r="A514" s="3" t="n">
        <v>138</v>
      </c>
      <c r="B514" t="n">
        <v>5</v>
      </c>
      <c r="C514" s="3" t="inlineStr">
        <is>
          <t>Red Onion</t>
        </is>
      </c>
      <c r="D514" s="3" t="inlineStr">
        <is>
          <t>106.FRVEG18</t>
        </is>
      </c>
      <c r="E514" s="4" t="n">
        <v>50</v>
      </c>
      <c r="F514" s="5" t="n">
        <v>0.0625</v>
      </c>
    </row>
    <row r="515">
      <c r="A515" s="3" t="n">
        <v>138</v>
      </c>
      <c r="B515" t="n">
        <v>6</v>
      </c>
      <c r="C515" s="3" t="inlineStr">
        <is>
          <t>Frozen Fries</t>
        </is>
      </c>
      <c r="D515" s="3" t="inlineStr">
        <is>
          <t>103.VEG4</t>
        </is>
      </c>
      <c r="E515" s="4" t="n">
        <v>100</v>
      </c>
      <c r="F515" s="5" t="n">
        <v>0.228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30" customWidth="1" min="4" max="4"/>
    <col width="13" customWidth="1" min="5" max="5"/>
    <col width="19" customWidth="1" min="6" max="6"/>
    <col width="20" customWidth="1" min="7" max="7"/>
    <col width="10" customWidth="1" min="8" max="8"/>
    <col width="18" customWidth="1" min="9" max="9"/>
    <col width="20" customWidth="1" min="10" max="10"/>
    <col width="14" customWidth="1" min="11" max="11"/>
    <col width="30" customWidth="1" min="12" max="12"/>
    <col width="14" customWidth="1" min="13" max="13"/>
    <col width="12" customWidth="1" min="14" max="14"/>
    <col width="10" customWidth="1" min="15" max="15"/>
    <col width="10" customWidth="1" min="16" max="16"/>
    <col width="14" customWidth="1" min="17" max="17"/>
    <col width="14" customWidth="1" min="18" max="18"/>
    <col width="16" customWidth="1" min="19" max="19"/>
    <col width="12" customWidth="1" min="20" max="20"/>
  </cols>
  <sheetData>
    <row r="1">
      <c r="A1" s="2" t="inlineStr">
        <is>
          <t>recipe_id</t>
        </is>
      </c>
      <c r="B1" s="2" t="inlineStr">
        <is>
          <t>source_row</t>
        </is>
      </c>
      <c r="C1" s="2" t="inlineStr">
        <is>
          <t>restaurant</t>
        </is>
      </c>
      <c r="D1" s="2" t="inlineStr">
        <is>
          <t>name</t>
        </is>
      </c>
      <c r="E1" s="2" t="inlineStr">
        <is>
          <t>category</t>
        </is>
      </c>
      <c r="F1" s="2" t="inlineStr">
        <is>
          <t>selling_item_code</t>
        </is>
      </c>
      <c r="G1" s="2" t="inlineStr">
        <is>
          <t>current_sale_price</t>
        </is>
      </c>
      <c r="H1" s="2" t="inlineStr">
        <is>
          <t>roundup</t>
        </is>
      </c>
      <c r="I1" s="2" t="inlineStr">
        <is>
          <t>net_price_source</t>
        </is>
      </c>
      <c r="J1" s="2" t="inlineStr">
        <is>
          <t>gross_price_source</t>
        </is>
      </c>
      <c r="K1" s="2" t="inlineStr">
        <is>
          <t>source_cost</t>
        </is>
      </c>
      <c r="L1" s="2" t="inlineStr">
        <is>
          <t>calc_component_cost</t>
        </is>
      </c>
      <c r="M1" s="2" t="inlineStr">
        <is>
          <t>cost_delta_vs_source</t>
        </is>
      </c>
      <c r="N1" s="2" t="inlineStr">
        <is>
          <t>variance_calc</t>
        </is>
      </c>
      <c r="O1" s="2" t="inlineStr">
        <is>
          <t>gp_calc</t>
        </is>
      </c>
      <c r="P1" s="2" t="inlineStr">
        <is>
          <t>pos_ytd</t>
        </is>
      </c>
      <c r="Q1" s="2" t="inlineStr">
        <is>
          <t>recipe_complete</t>
        </is>
      </c>
      <c r="R1" s="2" t="inlineStr">
        <is>
          <t>pricing_complete</t>
        </is>
      </c>
      <c r="S1" s="2" t="inlineStr">
        <is>
          <t>source_variance_raw</t>
        </is>
      </c>
      <c r="T1" s="2" t="inlineStr">
        <is>
          <t>source_gp_raw</t>
        </is>
      </c>
    </row>
    <row r="2">
      <c r="A2" t="n">
        <v>1</v>
      </c>
      <c r="B2" t="inlineStr">
        <is>
          <t>1</t>
        </is>
      </c>
      <c r="C2" t="inlineStr">
        <is>
          <t>Tasi</t>
        </is>
      </c>
      <c r="D2" t="inlineStr">
        <is>
          <t>Beef carpaccio</t>
        </is>
      </c>
      <c r="E2" t="inlineStr">
        <is>
          <t>TASTART</t>
        </is>
      </c>
      <c r="F2" t="inlineStr">
        <is>
          <t>TASTART01</t>
        </is>
      </c>
      <c r="G2" s="6" t="n">
        <v>14</v>
      </c>
      <c r="H2" s="6" t="n">
        <v>14.3</v>
      </c>
      <c r="I2" s="7" t="n">
        <v>10.31666667</v>
      </c>
      <c r="J2" s="7" t="n">
        <v>12.79266667</v>
      </c>
      <c r="K2" s="7" t="n">
        <v>3.095</v>
      </c>
      <c r="L2" s="8">
        <f>SUMIF(Recipe_Components!$A$2:$A$515,A2,Recipe_Components!$F$2:$F$515)</f>
        <v/>
      </c>
      <c r="M2" s="8">
        <f>IF(AND(K2&lt;&gt;"",L2&lt;&gt;""),L2-K2,"")</f>
        <v/>
      </c>
      <c r="N2" s="8">
        <f>IF(AND(G2&lt;&gt;"",H2&lt;&gt;""),G2-H2,"")</f>
        <v/>
      </c>
      <c r="O2" s="9">
        <f>IF(G2&gt;0,1-L2/G2,"")</f>
        <v/>
      </c>
      <c r="P2" s="10" t="n"/>
      <c r="Q2" t="b">
        <v>0</v>
      </c>
      <c r="R2" t="b">
        <v>0</v>
      </c>
      <c r="S2" t="inlineStr">
        <is>
          <t>-0.3</t>
        </is>
      </c>
      <c r="T2" t="inlineStr">
        <is>
          <t>0.7258714286</t>
        </is>
      </c>
    </row>
    <row r="3">
      <c r="A3" t="n">
        <v>2</v>
      </c>
      <c r="B3" t="inlineStr">
        <is>
          <t>2</t>
        </is>
      </c>
      <c r="C3" t="inlineStr">
        <is>
          <t>Tasi</t>
        </is>
      </c>
      <c r="D3" t="inlineStr">
        <is>
          <t>Courgette fritters</t>
        </is>
      </c>
      <c r="E3" t="inlineStr">
        <is>
          <t>TASTART</t>
        </is>
      </c>
      <c r="F3" t="inlineStr">
        <is>
          <t>TASTART02</t>
        </is>
      </c>
      <c r="G3" s="6" t="n">
        <v>10</v>
      </c>
      <c r="H3" s="6" t="n">
        <v>3.3</v>
      </c>
      <c r="I3" s="7" t="n">
        <v>2.274466667</v>
      </c>
      <c r="J3" s="7" t="n">
        <v>2.820338667</v>
      </c>
      <c r="K3" s="7" t="n">
        <v>0.6823399999999999</v>
      </c>
      <c r="L3" s="8">
        <f>SUMIF(Recipe_Components!$A$2:$A$515,A3,Recipe_Components!$F$2:$F$515)</f>
        <v/>
      </c>
      <c r="M3" s="8">
        <f>IF(AND(K3&lt;&gt;"",L3&lt;&gt;""),L3-K3,"")</f>
        <v/>
      </c>
      <c r="N3" s="8">
        <f>IF(AND(G3&lt;&gt;"",H3&lt;&gt;""),G3-H3,"")</f>
        <v/>
      </c>
      <c r="O3" s="9">
        <f>IF(G3&gt;0,1-L3/G3,"")</f>
        <v/>
      </c>
      <c r="P3" s="10" t="n"/>
      <c r="Q3" t="b">
        <v>0</v>
      </c>
      <c r="R3" t="b">
        <v>0</v>
      </c>
      <c r="S3" t="inlineStr">
        <is>
          <t>6.7</t>
        </is>
      </c>
      <c r="T3" t="inlineStr">
        <is>
          <t>0.91538984</t>
        </is>
      </c>
    </row>
    <row r="4">
      <c r="A4" t="n">
        <v>3</v>
      </c>
      <c r="B4" t="inlineStr">
        <is>
          <t>3</t>
        </is>
      </c>
      <c r="C4" t="inlineStr">
        <is>
          <t>Tasi</t>
        </is>
      </c>
      <c r="D4" t="inlineStr">
        <is>
          <t>Seabass ceviche</t>
        </is>
      </c>
      <c r="E4" t="inlineStr">
        <is>
          <t>TASTART</t>
        </is>
      </c>
      <c r="F4" t="inlineStr">
        <is>
          <t>TASTART03</t>
        </is>
      </c>
      <c r="G4" s="6" t="n">
        <v>14</v>
      </c>
      <c r="H4" s="6" t="n">
        <v>15.4</v>
      </c>
      <c r="I4" s="7" t="n">
        <v>10.81416667</v>
      </c>
      <c r="J4" s="7" t="n">
        <v>13.40956667</v>
      </c>
      <c r="K4" s="7" t="n">
        <v>3.24425</v>
      </c>
      <c r="L4" s="8">
        <f>SUMIF(Recipe_Components!$A$2:$A$515,A4,Recipe_Components!$F$2:$F$515)</f>
        <v/>
      </c>
      <c r="M4" s="8">
        <f>IF(AND(K4&lt;&gt;"",L4&lt;&gt;""),L4-K4,"")</f>
        <v/>
      </c>
      <c r="N4" s="8">
        <f>IF(AND(G4&lt;&gt;"",H4&lt;&gt;""),G4-H4,"")</f>
        <v/>
      </c>
      <c r="O4" s="9">
        <f>IF(G4&gt;0,1-L4/G4,"")</f>
        <v/>
      </c>
      <c r="P4" s="10" t="n"/>
      <c r="Q4" t="b">
        <v>0</v>
      </c>
      <c r="R4" t="b">
        <v>0</v>
      </c>
      <c r="S4" t="inlineStr">
        <is>
          <t>-1.4</t>
        </is>
      </c>
      <c r="T4" t="inlineStr">
        <is>
          <t>0.7126521429</t>
        </is>
      </c>
    </row>
    <row r="5">
      <c r="A5" t="n">
        <v>4</v>
      </c>
      <c r="B5" t="inlineStr">
        <is>
          <t>4</t>
        </is>
      </c>
      <c r="C5" t="inlineStr">
        <is>
          <t>Tasi</t>
        </is>
      </c>
      <c r="D5" t="inlineStr">
        <is>
          <t>Gazpacho</t>
        </is>
      </c>
      <c r="E5" t="inlineStr">
        <is>
          <t>TASTART</t>
        </is>
      </c>
      <c r="F5" t="inlineStr">
        <is>
          <t>TASTART04</t>
        </is>
      </c>
      <c r="G5" s="6" t="n">
        <v>10</v>
      </c>
      <c r="H5" s="6" t="n">
        <v>4.4</v>
      </c>
      <c r="I5" s="7" t="n">
        <v>2.783076923</v>
      </c>
      <c r="J5" s="7" t="n">
        <v>3.451015385</v>
      </c>
      <c r="K5" s="7" t="n">
        <v>0.8349230769</v>
      </c>
      <c r="L5" s="8">
        <f>SUMIF(Recipe_Components!$A$2:$A$515,A5,Recipe_Components!$F$2:$F$515)</f>
        <v/>
      </c>
      <c r="M5" s="8">
        <f>IF(AND(K5&lt;&gt;"",L5&lt;&gt;""),L5-K5,"")</f>
        <v/>
      </c>
      <c r="N5" s="8">
        <f>IF(AND(G5&lt;&gt;"",H5&lt;&gt;""),G5-H5,"")</f>
        <v/>
      </c>
      <c r="O5" s="9">
        <f>IF(G5&gt;0,1-L5/G5,"")</f>
        <v/>
      </c>
      <c r="P5" s="10" t="n"/>
      <c r="Q5" t="b">
        <v>0</v>
      </c>
      <c r="R5" t="b">
        <v>0</v>
      </c>
      <c r="S5" t="inlineStr">
        <is>
          <t>5.6</t>
        </is>
      </c>
      <c r="T5" t="inlineStr">
        <is>
          <t>0.8964695385</t>
        </is>
      </c>
    </row>
    <row r="6">
      <c r="A6" t="n">
        <v>5</v>
      </c>
      <c r="B6" t="inlineStr">
        <is>
          <t>5</t>
        </is>
      </c>
      <c r="C6" t="inlineStr">
        <is>
          <t>Tasi</t>
        </is>
      </c>
      <c r="D6" t="inlineStr">
        <is>
          <t>Fritto misto</t>
        </is>
      </c>
      <c r="E6" t="inlineStr">
        <is>
          <t>TASTART</t>
        </is>
      </c>
      <c r="F6" t="inlineStr">
        <is>
          <t>TASTART05</t>
        </is>
      </c>
      <c r="G6" s="6" t="n">
        <v>16</v>
      </c>
      <c r="H6" s="6" t="n">
        <v>17.6</v>
      </c>
      <c r="I6" s="7" t="n">
        <v>12.86064815</v>
      </c>
      <c r="J6" s="7" t="n">
        <v>15.9472037</v>
      </c>
      <c r="K6" s="7" t="n">
        <v>3.858194444</v>
      </c>
      <c r="L6" s="8">
        <f>SUMIF(Recipe_Components!$A$2:$A$515,A6,Recipe_Components!$F$2:$F$515)</f>
        <v/>
      </c>
      <c r="M6" s="8">
        <f>IF(AND(K6&lt;&gt;"",L6&lt;&gt;""),L6-K6,"")</f>
        <v/>
      </c>
      <c r="N6" s="8">
        <f>IF(AND(G6&lt;&gt;"",H6&lt;&gt;""),G6-H6,"")</f>
        <v/>
      </c>
      <c r="O6" s="9">
        <f>IF(G6&gt;0,1-L6/G6,"")</f>
        <v/>
      </c>
      <c r="P6" s="10" t="n"/>
      <c r="Q6" t="b">
        <v>0</v>
      </c>
      <c r="R6" t="b">
        <v>0</v>
      </c>
      <c r="S6" t="inlineStr">
        <is>
          <t>-1.6</t>
        </is>
      </c>
      <c r="T6" t="inlineStr">
        <is>
          <t>0.7009899306</t>
        </is>
      </c>
    </row>
    <row r="7">
      <c r="A7" t="n">
        <v>6</v>
      </c>
      <c r="B7" t="inlineStr">
        <is>
          <t>6</t>
        </is>
      </c>
      <c r="C7" t="inlineStr">
        <is>
          <t>Tasi</t>
        </is>
      </c>
      <c r="D7" t="inlineStr">
        <is>
          <t>White bean dip and flatbread</t>
        </is>
      </c>
      <c r="E7" t="inlineStr">
        <is>
          <t>TASTART</t>
        </is>
      </c>
      <c r="F7" t="inlineStr">
        <is>
          <t>TASTART06</t>
        </is>
      </c>
      <c r="G7" s="6" t="n">
        <v>10</v>
      </c>
      <c r="H7" s="6" t="n">
        <v>4.4</v>
      </c>
      <c r="I7" s="7" t="n">
        <v>2.681169647</v>
      </c>
      <c r="J7" s="7" t="n">
        <v>3.324650362</v>
      </c>
      <c r="K7" s="7" t="n">
        <v>0.8043508941</v>
      </c>
      <c r="L7" s="8">
        <f>SUMIF(Recipe_Components!$A$2:$A$515,A7,Recipe_Components!$F$2:$F$515)</f>
        <v/>
      </c>
      <c r="M7" s="8">
        <f>IF(AND(K7&lt;&gt;"",L7&lt;&gt;""),L7-K7,"")</f>
        <v/>
      </c>
      <c r="N7" s="8">
        <f>IF(AND(G7&lt;&gt;"",H7&lt;&gt;""),G7-H7,"")</f>
        <v/>
      </c>
      <c r="O7" s="9">
        <f>IF(G7&gt;0,1-L7/G7,"")</f>
        <v/>
      </c>
      <c r="P7" s="10" t="n"/>
      <c r="Q7" t="b">
        <v>0</v>
      </c>
      <c r="R7" t="b">
        <v>0</v>
      </c>
      <c r="S7" t="inlineStr">
        <is>
          <t>5.6</t>
        </is>
      </c>
      <c r="T7" t="inlineStr">
        <is>
          <t>0.9002604891</t>
        </is>
      </c>
    </row>
    <row r="8">
      <c r="A8" t="n">
        <v>7</v>
      </c>
      <c r="B8" t="inlineStr">
        <is>
          <t>8</t>
        </is>
      </c>
      <c r="C8" t="inlineStr">
        <is>
          <t>Tasi</t>
        </is>
      </c>
      <c r="D8" t="inlineStr">
        <is>
          <t>Spinach and sea green linguine</t>
        </is>
      </c>
      <c r="E8" t="inlineStr">
        <is>
          <t>TAMAIN</t>
        </is>
      </c>
      <c r="F8" t="inlineStr">
        <is>
          <t>TAMAIN01</t>
        </is>
      </c>
      <c r="G8" s="6" t="n">
        <v>16</v>
      </c>
      <c r="H8" s="6" t="n">
        <v>17.6</v>
      </c>
      <c r="I8" s="7" t="n">
        <v>12.16133333</v>
      </c>
      <c r="J8" s="7" t="n">
        <v>15.08005333</v>
      </c>
      <c r="K8" s="7" t="n">
        <v>3.6484</v>
      </c>
      <c r="L8" s="8">
        <f>SUMIF(Recipe_Components!$A$2:$A$515,A8,Recipe_Components!$F$2:$F$515)</f>
        <v/>
      </c>
      <c r="M8" s="8">
        <f>IF(AND(K8&lt;&gt;"",L8&lt;&gt;""),L8-K8,"")</f>
        <v/>
      </c>
      <c r="N8" s="8">
        <f>IF(AND(G8&lt;&gt;"",H8&lt;&gt;""),G8-H8,"")</f>
        <v/>
      </c>
      <c r="O8" s="9">
        <f>IF(G8&gt;0,1-L8/G8,"")</f>
        <v/>
      </c>
      <c r="P8" s="10" t="n"/>
      <c r="Q8" t="b">
        <v>0</v>
      </c>
      <c r="R8" t="b">
        <v>0</v>
      </c>
      <c r="S8" t="inlineStr">
        <is>
          <t>-1.6</t>
        </is>
      </c>
      <c r="T8" t="inlineStr">
        <is>
          <t>0.717249</t>
        </is>
      </c>
    </row>
    <row r="9">
      <c r="A9" t="n">
        <v>8</v>
      </c>
      <c r="B9" t="inlineStr">
        <is>
          <t>9</t>
        </is>
      </c>
      <c r="C9" t="inlineStr">
        <is>
          <t>Tasi</t>
        </is>
      </c>
      <c r="D9" t="inlineStr">
        <is>
          <t>GF Spinach and sea green linguine</t>
        </is>
      </c>
      <c r="E9" t="inlineStr">
        <is>
          <t>TAMAIN</t>
        </is>
      </c>
      <c r="F9" t="inlineStr">
        <is>
          <t>TAMAIN02</t>
        </is>
      </c>
      <c r="G9" s="6" t="n">
        <v>16</v>
      </c>
      <c r="H9" s="6" t="n">
        <v>17.6</v>
      </c>
      <c r="I9" s="7" t="n">
        <v>12.16133333</v>
      </c>
      <c r="J9" s="7" t="n">
        <v>15.08005333</v>
      </c>
      <c r="K9" s="7" t="n">
        <v>3.6484</v>
      </c>
      <c r="L9" s="8">
        <f>SUMIF(Recipe_Components!$A$2:$A$515,A9,Recipe_Components!$F$2:$F$515)</f>
        <v/>
      </c>
      <c r="M9" s="8">
        <f>IF(AND(K9&lt;&gt;"",L9&lt;&gt;""),L9-K9,"")</f>
        <v/>
      </c>
      <c r="N9" s="8">
        <f>IF(AND(G9&lt;&gt;"",H9&lt;&gt;""),G9-H9,"")</f>
        <v/>
      </c>
      <c r="O9" s="9">
        <f>IF(G9&gt;0,1-L9/G9,"")</f>
        <v/>
      </c>
      <c r="P9" s="10" t="n"/>
      <c r="Q9" t="b">
        <v>0</v>
      </c>
      <c r="R9" t="b">
        <v>0</v>
      </c>
      <c r="S9" t="inlineStr">
        <is>
          <t>-1.6</t>
        </is>
      </c>
      <c r="T9" t="inlineStr">
        <is>
          <t>0.717249</t>
        </is>
      </c>
    </row>
    <row r="10">
      <c r="A10" t="n">
        <v>9</v>
      </c>
      <c r="B10" t="inlineStr">
        <is>
          <t>10</t>
        </is>
      </c>
      <c r="C10" t="inlineStr">
        <is>
          <t>Tasi</t>
        </is>
      </c>
      <c r="D10" t="inlineStr">
        <is>
          <t>Beef Ragu Orecchiette</t>
        </is>
      </c>
      <c r="E10" t="inlineStr">
        <is>
          <t>TAMAIN</t>
        </is>
      </c>
      <c r="F10" t="inlineStr">
        <is>
          <t>TAMAIN03</t>
        </is>
      </c>
      <c r="G10" s="6" t="n">
        <v>18</v>
      </c>
      <c r="H10" s="6" t="n">
        <v>17.6</v>
      </c>
      <c r="I10" s="7" t="n">
        <v>12.27401239</v>
      </c>
      <c r="J10" s="7" t="n">
        <v>15.21977536</v>
      </c>
      <c r="K10" s="7" t="n">
        <v>3.682203717</v>
      </c>
      <c r="L10" s="8">
        <f>SUMIF(Recipe_Components!$A$2:$A$515,A10,Recipe_Components!$F$2:$F$515)</f>
        <v/>
      </c>
      <c r="M10" s="8">
        <f>IF(AND(K10&lt;&gt;"",L10&lt;&gt;""),L10-K10,"")</f>
        <v/>
      </c>
      <c r="N10" s="8">
        <f>IF(AND(G10&lt;&gt;"",H10&lt;&gt;""),G10-H10,"")</f>
        <v/>
      </c>
      <c r="O10" s="9">
        <f>IF(G10&gt;0,1-L10/G10,"")</f>
        <v/>
      </c>
      <c r="P10" s="10" t="n"/>
      <c r="Q10" t="b">
        <v>0</v>
      </c>
      <c r="R10" t="b">
        <v>0</v>
      </c>
      <c r="S10" t="inlineStr">
        <is>
          <t>0.4</t>
        </is>
      </c>
      <c r="T10" t="inlineStr">
        <is>
          <t>0.7463370773</t>
        </is>
      </c>
    </row>
    <row r="11">
      <c r="A11" t="n">
        <v>10</v>
      </c>
      <c r="B11" t="inlineStr">
        <is>
          <t>11</t>
        </is>
      </c>
      <c r="C11" t="inlineStr">
        <is>
          <t>Tasi</t>
        </is>
      </c>
      <c r="D11" t="inlineStr">
        <is>
          <t>GF Beef Rugu Orecchiette</t>
        </is>
      </c>
      <c r="E11" t="inlineStr">
        <is>
          <t>TAMAIN</t>
        </is>
      </c>
      <c r="F11" t="inlineStr">
        <is>
          <t>TAMAIN04</t>
        </is>
      </c>
      <c r="G11" s="6" t="n">
        <v>18</v>
      </c>
      <c r="H11" s="6" t="n">
        <v>18.7</v>
      </c>
      <c r="I11" s="7" t="n">
        <v>13.05534572</v>
      </c>
      <c r="J11" s="7" t="n">
        <v>16.1886287</v>
      </c>
      <c r="K11" s="7" t="n">
        <v>3.916603717</v>
      </c>
      <c r="L11" s="8">
        <f>SUMIF(Recipe_Components!$A$2:$A$515,A11,Recipe_Components!$F$2:$F$515)</f>
        <v/>
      </c>
      <c r="M11" s="8">
        <f>IF(AND(K11&lt;&gt;"",L11&lt;&gt;""),L11-K11,"")</f>
        <v/>
      </c>
      <c r="N11" s="8">
        <f>IF(AND(G11&lt;&gt;"",H11&lt;&gt;""),G11-H11,"")</f>
        <v/>
      </c>
      <c r="O11" s="9">
        <f>IF(G11&gt;0,1-L11/G11,"")</f>
        <v/>
      </c>
      <c r="P11" s="10" t="n"/>
      <c r="Q11" t="b">
        <v>0</v>
      </c>
      <c r="R11" t="b">
        <v>0</v>
      </c>
      <c r="S11" t="inlineStr">
        <is>
          <t>-0.7</t>
        </is>
      </c>
      <c r="T11" t="inlineStr">
        <is>
          <t>0.7301895217</t>
        </is>
      </c>
    </row>
    <row r="12">
      <c r="A12" t="n">
        <v>11</v>
      </c>
      <c r="B12" t="inlineStr">
        <is>
          <t>12</t>
        </is>
      </c>
      <c r="C12" t="inlineStr">
        <is>
          <t>Tasi</t>
        </is>
      </c>
      <c r="D12" t="inlineStr">
        <is>
          <t>Seafood linguine</t>
        </is>
      </c>
      <c r="E12" t="inlineStr">
        <is>
          <t>TAMAIN</t>
        </is>
      </c>
      <c r="F12" t="inlineStr">
        <is>
          <t>TAMAIN05</t>
        </is>
      </c>
      <c r="G12" s="6" t="n">
        <v>28</v>
      </c>
      <c r="H12" s="6" t="n">
        <v>11</v>
      </c>
      <c r="I12" s="7" t="n">
        <v>8.016533333</v>
      </c>
      <c r="J12" s="7" t="n">
        <v>9.940501333</v>
      </c>
      <c r="K12" s="7" t="n">
        <v>2.40496</v>
      </c>
      <c r="L12" s="8">
        <f>SUMIF(Recipe_Components!$A$2:$A$515,A12,Recipe_Components!$F$2:$F$515)</f>
        <v/>
      </c>
      <c r="M12" s="8">
        <f>IF(AND(K12&lt;&gt;"",L12&lt;&gt;""),L12-K12,"")</f>
        <v/>
      </c>
      <c r="N12" s="8">
        <f>IF(AND(G12&lt;&gt;"",H12&lt;&gt;""),G12-H12,"")</f>
        <v/>
      </c>
      <c r="O12" s="9">
        <f>IF(G12&gt;0,1-L12/G12,"")</f>
        <v/>
      </c>
      <c r="P12" s="10" t="n"/>
      <c r="Q12" t="b">
        <v>0</v>
      </c>
      <c r="R12" t="b">
        <v>0</v>
      </c>
      <c r="S12" t="inlineStr">
        <is>
          <t>17</t>
        </is>
      </c>
      <c r="T12" t="inlineStr">
        <is>
          <t>0.8934946286</t>
        </is>
      </c>
    </row>
    <row r="13">
      <c r="A13" t="n">
        <v>12</v>
      </c>
      <c r="B13" t="inlineStr">
        <is>
          <t>13</t>
        </is>
      </c>
      <c r="C13" t="inlineStr">
        <is>
          <t>Tasi</t>
        </is>
      </c>
      <c r="D13" t="inlineStr">
        <is>
          <t>GF seafood linguine</t>
        </is>
      </c>
      <c r="E13" t="inlineStr">
        <is>
          <t>TAMAIN</t>
        </is>
      </c>
      <c r="F13" t="inlineStr">
        <is>
          <t>TAMAIN06</t>
        </is>
      </c>
      <c r="G13" s="6" t="n">
        <v>28</v>
      </c>
      <c r="H13" s="6" t="n">
        <v>11</v>
      </c>
      <c r="I13" s="7" t="n">
        <v>8.016533333</v>
      </c>
      <c r="J13" s="7" t="n">
        <v>9.940501333</v>
      </c>
      <c r="K13" s="7" t="n">
        <v>2.40496</v>
      </c>
      <c r="L13" s="8">
        <f>SUMIF(Recipe_Components!$A$2:$A$515,A13,Recipe_Components!$F$2:$F$515)</f>
        <v/>
      </c>
      <c r="M13" s="8">
        <f>IF(AND(K13&lt;&gt;"",L13&lt;&gt;""),L13-K13,"")</f>
        <v/>
      </c>
      <c r="N13" s="8">
        <f>IF(AND(G13&lt;&gt;"",H13&lt;&gt;""),G13-H13,"")</f>
        <v/>
      </c>
      <c r="O13" s="9">
        <f>IF(G13&gt;0,1-L13/G13,"")</f>
        <v/>
      </c>
      <c r="P13" s="10" t="n"/>
      <c r="Q13" t="b">
        <v>0</v>
      </c>
      <c r="R13" t="b">
        <v>0</v>
      </c>
      <c r="S13" t="inlineStr">
        <is>
          <t>17</t>
        </is>
      </c>
      <c r="T13" t="inlineStr">
        <is>
          <t>0.8934946286</t>
        </is>
      </c>
    </row>
    <row r="14">
      <c r="A14" t="n">
        <v>13</v>
      </c>
      <c r="B14" t="inlineStr">
        <is>
          <t>14</t>
        </is>
      </c>
      <c r="C14" t="inlineStr">
        <is>
          <t>Tasi</t>
        </is>
      </c>
      <c r="D14" t="inlineStr">
        <is>
          <t>Chicken milanese</t>
        </is>
      </c>
      <c r="E14" t="inlineStr">
        <is>
          <t>TAMAIN</t>
        </is>
      </c>
      <c r="F14" t="inlineStr">
        <is>
          <t>TAMAIN07</t>
        </is>
      </c>
      <c r="G14" s="6" t="n">
        <v>21</v>
      </c>
      <c r="H14" s="6" t="n">
        <v>7.7</v>
      </c>
      <c r="I14" s="7" t="n">
        <v>5.5885</v>
      </c>
      <c r="J14" s="7" t="n">
        <v>6.92974</v>
      </c>
      <c r="K14" s="7" t="n">
        <v>1.67655</v>
      </c>
      <c r="L14" s="8">
        <f>SUMIF(Recipe_Components!$A$2:$A$515,A14,Recipe_Components!$F$2:$F$515)</f>
        <v/>
      </c>
      <c r="M14" s="8">
        <f>IF(AND(K14&lt;&gt;"",L14&lt;&gt;""),L14-K14,"")</f>
        <v/>
      </c>
      <c r="N14" s="8">
        <f>IF(AND(G14&lt;&gt;"",H14&lt;&gt;""),G14-H14,"")</f>
        <v/>
      </c>
      <c r="O14" s="9">
        <f>IF(G14&gt;0,1-L14/G14,"")</f>
        <v/>
      </c>
      <c r="P14" s="10" t="n"/>
      <c r="Q14" t="b">
        <v>0</v>
      </c>
      <c r="R14" t="b">
        <v>0</v>
      </c>
      <c r="S14" t="inlineStr">
        <is>
          <t>13.3</t>
        </is>
      </c>
      <c r="T14" t="inlineStr">
        <is>
          <t>0.9010037143</t>
        </is>
      </c>
    </row>
    <row r="15">
      <c r="A15" t="n">
        <v>14</v>
      </c>
      <c r="B15" t="inlineStr">
        <is>
          <t>15</t>
        </is>
      </c>
      <c r="C15" t="inlineStr">
        <is>
          <t>Tasi</t>
        </is>
      </c>
      <c r="D15" t="inlineStr">
        <is>
          <t>Celeriac Shnitzel</t>
        </is>
      </c>
      <c r="E15" t="inlineStr">
        <is>
          <t>TAMAIN</t>
        </is>
      </c>
      <c r="F15" t="inlineStr">
        <is>
          <t>TAMAIN08</t>
        </is>
      </c>
      <c r="G15" s="6" t="n">
        <v>19</v>
      </c>
      <c r="H15" s="6" t="n">
        <v>8.800000000000001</v>
      </c>
      <c r="I15" s="7" t="n">
        <v>6.132553606</v>
      </c>
      <c r="J15" s="7" t="n">
        <v>7.604366471</v>
      </c>
      <c r="K15" s="7" t="n">
        <v>1.839766082</v>
      </c>
      <c r="L15" s="8">
        <f>SUMIF(Recipe_Components!$A$2:$A$515,A15,Recipe_Components!$F$2:$F$515)</f>
        <v/>
      </c>
      <c r="M15" s="8">
        <f>IF(AND(K15&lt;&gt;"",L15&lt;&gt;""),L15-K15,"")</f>
        <v/>
      </c>
      <c r="N15" s="8">
        <f>IF(AND(G15&lt;&gt;"",H15&lt;&gt;""),G15-H15,"")</f>
        <v/>
      </c>
      <c r="O15" s="9">
        <f>IF(G15&gt;0,1-L15/G15,"")</f>
        <v/>
      </c>
      <c r="P15" s="10" t="n"/>
      <c r="Q15" t="b">
        <v>0</v>
      </c>
      <c r="R15" t="b">
        <v>0</v>
      </c>
      <c r="S15" t="inlineStr">
        <is>
          <t>10.2</t>
        </is>
      </c>
      <c r="T15" t="inlineStr">
        <is>
          <t>0.8799310557</t>
        </is>
      </c>
    </row>
    <row r="16">
      <c r="A16" t="n">
        <v>15</v>
      </c>
      <c r="B16" t="inlineStr">
        <is>
          <t>16</t>
        </is>
      </c>
      <c r="C16" t="inlineStr">
        <is>
          <t>Tasi</t>
        </is>
      </c>
      <c r="D16" t="inlineStr">
        <is>
          <t>Sea bass fillet</t>
        </is>
      </c>
      <c r="E16" t="inlineStr">
        <is>
          <t>TAMAIN</t>
        </is>
      </c>
      <c r="F16" t="inlineStr">
        <is>
          <t>TAMAIN09</t>
        </is>
      </c>
      <c r="G16" s="6" t="n">
        <v>21</v>
      </c>
      <c r="H16" s="6" t="n">
        <v>31.9</v>
      </c>
      <c r="I16" s="7" t="n">
        <v>22.6</v>
      </c>
      <c r="J16" s="7" t="n">
        <v>28.024</v>
      </c>
      <c r="K16" s="7" t="n">
        <v>6.78</v>
      </c>
      <c r="L16" s="8">
        <f>SUMIF(Recipe_Components!$A$2:$A$515,A16,Recipe_Components!$F$2:$F$515)</f>
        <v/>
      </c>
      <c r="M16" s="8">
        <f>IF(AND(K16&lt;&gt;"",L16&lt;&gt;""),L16-K16,"")</f>
        <v/>
      </c>
      <c r="N16" s="8">
        <f>IF(AND(G16&lt;&gt;"",H16&lt;&gt;""),G16-H16,"")</f>
        <v/>
      </c>
      <c r="O16" s="9">
        <f>IF(G16&gt;0,1-L16/G16,"")</f>
        <v/>
      </c>
      <c r="P16" s="10" t="n"/>
      <c r="Q16" t="b">
        <v>0</v>
      </c>
      <c r="R16" t="b">
        <v>0</v>
      </c>
      <c r="S16" t="inlineStr">
        <is>
          <t>-10.9</t>
        </is>
      </c>
      <c r="T16" t="inlineStr">
        <is>
          <t>0.5996571429</t>
        </is>
      </c>
    </row>
    <row r="17">
      <c r="A17" t="n">
        <v>16</v>
      </c>
      <c r="B17" t="inlineStr">
        <is>
          <t>17</t>
        </is>
      </c>
      <c r="C17" t="inlineStr">
        <is>
          <t>Tasi</t>
        </is>
      </c>
      <c r="D17" t="inlineStr">
        <is>
          <t>Pomodoro Lingiuini</t>
        </is>
      </c>
      <c r="E17" t="inlineStr">
        <is>
          <t>TAMAIN</t>
        </is>
      </c>
      <c r="F17" t="inlineStr">
        <is>
          <t>TAMAIN10</t>
        </is>
      </c>
      <c r="G17" s="6" t="n">
        <v>16</v>
      </c>
      <c r="H17" s="6" t="n">
        <v>6.6</v>
      </c>
      <c r="I17" s="7" t="n">
        <v>4.179358752</v>
      </c>
      <c r="J17" s="7" t="n">
        <v>5.182404853</v>
      </c>
      <c r="K17" s="7" t="n">
        <v>1.253807626</v>
      </c>
      <c r="L17" s="8">
        <f>SUMIF(Recipe_Components!$A$2:$A$515,A17,Recipe_Components!$F$2:$F$515)</f>
        <v/>
      </c>
      <c r="M17" s="8">
        <f>IF(AND(K17&lt;&gt;"",L17&lt;&gt;""),L17-K17,"")</f>
        <v/>
      </c>
      <c r="N17" s="8">
        <f>IF(AND(G17&lt;&gt;"",H17&lt;&gt;""),G17-H17,"")</f>
        <v/>
      </c>
      <c r="O17" s="9">
        <f>IF(G17&gt;0,1-L17/G17,"")</f>
        <v/>
      </c>
      <c r="P17" s="10" t="n"/>
      <c r="Q17" t="b">
        <v>1</v>
      </c>
      <c r="R17" t="b">
        <v>0</v>
      </c>
      <c r="S17" t="inlineStr">
        <is>
          <t>9.4</t>
        </is>
      </c>
      <c r="T17" t="inlineStr">
        <is>
          <t>0.902829909</t>
        </is>
      </c>
    </row>
    <row r="18">
      <c r="A18" t="n">
        <v>17</v>
      </c>
      <c r="B18" t="inlineStr">
        <is>
          <t>18</t>
        </is>
      </c>
      <c r="C18" t="inlineStr">
        <is>
          <t>Tasi</t>
        </is>
      </c>
      <c r="D18" t="inlineStr">
        <is>
          <t>Marinated Grilled Aubergine</t>
        </is>
      </c>
      <c r="E18" t="inlineStr">
        <is>
          <t>TAMAIN</t>
        </is>
      </c>
      <c r="F18" t="inlineStr">
        <is>
          <t>TAMAIN11</t>
        </is>
      </c>
      <c r="G18" s="6" t="n">
        <v>19</v>
      </c>
      <c r="H18" s="6" t="n">
        <v>5.5</v>
      </c>
      <c r="I18" s="7" t="n">
        <v>3.837333333</v>
      </c>
      <c r="J18" s="7" t="n">
        <v>4.758293333</v>
      </c>
      <c r="K18" s="7" t="n">
        <v>1.1512</v>
      </c>
      <c r="L18" s="8">
        <f>SUMIF(Recipe_Components!$A$2:$A$515,A18,Recipe_Components!$F$2:$F$515)</f>
        <v/>
      </c>
      <c r="M18" s="8">
        <f>IF(AND(K18&lt;&gt;"",L18&lt;&gt;""),L18-K18,"")</f>
        <v/>
      </c>
      <c r="N18" s="8">
        <f>IF(AND(G18&lt;&gt;"",H18&lt;&gt;""),G18-H18,"")</f>
        <v/>
      </c>
      <c r="O18" s="9">
        <f>IF(G18&gt;0,1-L18/G18,"")</f>
        <v/>
      </c>
      <c r="P18" s="10" t="n"/>
      <c r="Q18" t="b">
        <v>0</v>
      </c>
      <c r="R18" t="b">
        <v>0</v>
      </c>
      <c r="S18" t="inlineStr"/>
      <c r="T18" t="inlineStr">
        <is>
          <t>0.9248690526</t>
        </is>
      </c>
    </row>
    <row r="19">
      <c r="A19" t="n">
        <v>18</v>
      </c>
      <c r="B19" t="inlineStr">
        <is>
          <t>20</t>
        </is>
      </c>
      <c r="C19" t="inlineStr">
        <is>
          <t>Tasi</t>
        </is>
      </c>
      <c r="D19" t="inlineStr">
        <is>
          <t>Grilled Leg Lamb (special Sept)</t>
        </is>
      </c>
      <c r="E19" t="inlineStr">
        <is>
          <t>TASPEC</t>
        </is>
      </c>
      <c r="F19" t="inlineStr">
        <is>
          <t>TASPEC01</t>
        </is>
      </c>
      <c r="G19" s="6" t="n">
        <v>26</v>
      </c>
      <c r="H19" s="6" t="n">
        <v>24.2</v>
      </c>
      <c r="I19" s="7" t="n">
        <v>17.11566667</v>
      </c>
      <c r="J19" s="7" t="n">
        <v>21.22342667</v>
      </c>
      <c r="K19" s="7" t="n">
        <v>5.1347</v>
      </c>
      <c r="L19" s="8">
        <f>SUMIF(Recipe_Components!$A$2:$A$515,A19,Recipe_Components!$F$2:$F$515)</f>
        <v/>
      </c>
      <c r="M19" s="8">
        <f>IF(AND(K19&lt;&gt;"",L19&lt;&gt;""),L19-K19,"")</f>
        <v/>
      </c>
      <c r="N19" s="8">
        <f>IF(AND(G19&lt;&gt;"",H19&lt;&gt;""),G19-H19,"")</f>
        <v/>
      </c>
      <c r="O19" s="9">
        <f>IF(G19&gt;0,1-L19/G19,"")</f>
        <v/>
      </c>
      <c r="P19" s="10" t="n"/>
      <c r="Q19" t="b">
        <v>0</v>
      </c>
      <c r="R19" t="b">
        <v>0</v>
      </c>
      <c r="S19" t="inlineStr"/>
      <c r="T19" t="inlineStr">
        <is>
          <t>0.7551143077</t>
        </is>
      </c>
    </row>
    <row r="20">
      <c r="A20" t="n">
        <v>19</v>
      </c>
      <c r="B20" t="inlineStr">
        <is>
          <t>21</t>
        </is>
      </c>
      <c r="C20" t="inlineStr">
        <is>
          <t>Tasi</t>
        </is>
      </c>
      <c r="D20" t="inlineStr">
        <is>
          <t>Fregola sarda con le cozze</t>
        </is>
      </c>
      <c r="E20" t="inlineStr">
        <is>
          <t>TASPEC</t>
        </is>
      </c>
      <c r="F20" t="inlineStr">
        <is>
          <t>TASPEC02</t>
        </is>
      </c>
      <c r="G20" s="6" t="n">
        <v>0</v>
      </c>
      <c r="H20" s="6" t="n"/>
      <c r="I20" s="7" t="n"/>
      <c r="J20" s="7" t="n"/>
      <c r="K20" s="7" t="n"/>
      <c r="L20" s="8">
        <f>SUMIF(Recipe_Components!$A$2:$A$515,A20,Recipe_Components!$F$2:$F$515)</f>
        <v/>
      </c>
      <c r="M20" s="8">
        <f>IF(AND(K20&lt;&gt;"",L20&lt;&gt;""),L20-K20,"")</f>
        <v/>
      </c>
      <c r="N20" s="8">
        <f>IF(AND(G20&lt;&gt;"",H20&lt;&gt;""),G20-H20,"")</f>
        <v/>
      </c>
      <c r="O20" s="9">
        <f>IF(G20&gt;0,1-L20/G20,"")</f>
        <v/>
      </c>
      <c r="P20" s="10" t="n"/>
      <c r="Q20" t="b">
        <v>0</v>
      </c>
      <c r="R20" t="b">
        <v>0</v>
      </c>
      <c r="S20" t="inlineStr"/>
      <c r="T20" t="inlineStr"/>
    </row>
    <row r="21">
      <c r="A21" t="n">
        <v>20</v>
      </c>
      <c r="B21" t="inlineStr">
        <is>
          <t>22</t>
        </is>
      </c>
      <c r="C21" t="inlineStr">
        <is>
          <t>Tasi</t>
        </is>
      </c>
      <c r="D21" t="inlineStr">
        <is>
          <t>Fried Halloumi with Warmed Honey &amp; Thyme</t>
        </is>
      </c>
      <c r="E21" t="inlineStr">
        <is>
          <t>TASPEC</t>
        </is>
      </c>
      <c r="F21" t="inlineStr">
        <is>
          <t>TASPEC03</t>
        </is>
      </c>
      <c r="G21" s="6" t="n">
        <v>0</v>
      </c>
      <c r="H21" s="6" t="n"/>
      <c r="I21" s="7" t="n"/>
      <c r="J21" s="7" t="n"/>
      <c r="K21" s="7" t="n"/>
      <c r="L21" s="8">
        <f>SUMIF(Recipe_Components!$A$2:$A$515,A21,Recipe_Components!$F$2:$F$515)</f>
        <v/>
      </c>
      <c r="M21" s="8">
        <f>IF(AND(K21&lt;&gt;"",L21&lt;&gt;""),L21-K21,"")</f>
        <v/>
      </c>
      <c r="N21" s="8">
        <f>IF(AND(G21&lt;&gt;"",H21&lt;&gt;""),G21-H21,"")</f>
        <v/>
      </c>
      <c r="O21" s="9">
        <f>IF(G21&gt;0,1-L21/G21,"")</f>
        <v/>
      </c>
      <c r="P21" s="10" t="n"/>
      <c r="Q21" t="b">
        <v>0</v>
      </c>
      <c r="R21" t="b">
        <v>0</v>
      </c>
      <c r="S21" t="inlineStr"/>
      <c r="T21" t="inlineStr"/>
    </row>
    <row r="22">
      <c r="A22" t="n">
        <v>21</v>
      </c>
      <c r="B22" t="inlineStr">
        <is>
          <t>23</t>
        </is>
      </c>
      <c r="C22" t="inlineStr">
        <is>
          <t>Tasi</t>
        </is>
      </c>
      <c r="D22" t="inlineStr">
        <is>
          <t>Prawn, Clam &amp; Squid Linguini</t>
        </is>
      </c>
      <c r="E22" t="inlineStr">
        <is>
          <t>TASPEC</t>
        </is>
      </c>
      <c r="F22" t="inlineStr">
        <is>
          <t>TASPEC04</t>
        </is>
      </c>
      <c r="G22" s="6" t="n">
        <v>0</v>
      </c>
      <c r="H22" s="6" t="n"/>
      <c r="I22" s="7" t="n"/>
      <c r="J22" s="7" t="n"/>
      <c r="K22" s="7" t="n"/>
      <c r="L22" s="8">
        <f>SUMIF(Recipe_Components!$A$2:$A$515,A22,Recipe_Components!$F$2:$F$515)</f>
        <v/>
      </c>
      <c r="M22" s="8">
        <f>IF(AND(K22&lt;&gt;"",L22&lt;&gt;""),L22-K22,"")</f>
        <v/>
      </c>
      <c r="N22" s="8">
        <f>IF(AND(G22&lt;&gt;"",H22&lt;&gt;""),G22-H22,"")</f>
        <v/>
      </c>
      <c r="O22" s="9">
        <f>IF(G22&gt;0,1-L22/G22,"")</f>
        <v/>
      </c>
      <c r="P22" s="10" t="n"/>
      <c r="Q22" t="b">
        <v>0</v>
      </c>
      <c r="R22" t="b">
        <v>0</v>
      </c>
      <c r="S22" t="inlineStr"/>
      <c r="T22" t="inlineStr"/>
    </row>
    <row r="23">
      <c r="A23" t="n">
        <v>22</v>
      </c>
      <c r="B23" t="inlineStr">
        <is>
          <t>24</t>
        </is>
      </c>
      <c r="C23" t="inlineStr">
        <is>
          <t>Tasi</t>
        </is>
      </c>
      <c r="D23" t="inlineStr">
        <is>
          <t>Cozze alla Marinara</t>
        </is>
      </c>
      <c r="E23" t="inlineStr">
        <is>
          <t>TASPEC</t>
        </is>
      </c>
      <c r="F23" t="inlineStr">
        <is>
          <t>TASPEC05</t>
        </is>
      </c>
      <c r="G23" s="6" t="n">
        <v>0</v>
      </c>
      <c r="H23" s="6" t="n"/>
      <c r="I23" s="7" t="n"/>
      <c r="J23" s="7" t="n"/>
      <c r="K23" s="7" t="n"/>
      <c r="L23" s="8">
        <f>SUMIF(Recipe_Components!$A$2:$A$515,A23,Recipe_Components!$F$2:$F$515)</f>
        <v/>
      </c>
      <c r="M23" s="8">
        <f>IF(AND(K23&lt;&gt;"",L23&lt;&gt;""),L23-K23,"")</f>
        <v/>
      </c>
      <c r="N23" s="8">
        <f>IF(AND(G23&lt;&gt;"",H23&lt;&gt;""),G23-H23,"")</f>
        <v/>
      </c>
      <c r="O23" s="9">
        <f>IF(G23&gt;0,1-L23/G23,"")</f>
        <v/>
      </c>
      <c r="P23" s="10" t="n"/>
      <c r="Q23" t="b">
        <v>0</v>
      </c>
      <c r="R23" t="b">
        <v>0</v>
      </c>
      <c r="S23" t="inlineStr"/>
      <c r="T23" t="inlineStr"/>
    </row>
    <row r="24">
      <c r="A24" t="n">
        <v>23</v>
      </c>
      <c r="B24" t="inlineStr">
        <is>
          <t>25</t>
        </is>
      </c>
      <c r="C24" t="inlineStr">
        <is>
          <t>Tasi</t>
        </is>
      </c>
      <c r="D24" t="inlineStr">
        <is>
          <t>Rigatoni alla Arrabbiata</t>
        </is>
      </c>
      <c r="E24" t="inlineStr">
        <is>
          <t>TASPEC</t>
        </is>
      </c>
      <c r="F24" t="inlineStr">
        <is>
          <t>TASPEC06</t>
        </is>
      </c>
      <c r="G24" s="6" t="n">
        <v>0</v>
      </c>
      <c r="H24" s="6" t="n"/>
      <c r="I24" s="7" t="n"/>
      <c r="J24" s="7" t="n"/>
      <c r="K24" s="7" t="n"/>
      <c r="L24" s="8">
        <f>SUMIF(Recipe_Components!$A$2:$A$515,A24,Recipe_Components!$F$2:$F$515)</f>
        <v/>
      </c>
      <c r="M24" s="8">
        <f>IF(AND(K24&lt;&gt;"",L24&lt;&gt;""),L24-K24,"")</f>
        <v/>
      </c>
      <c r="N24" s="8">
        <f>IF(AND(G24&lt;&gt;"",H24&lt;&gt;""),G24-H24,"")</f>
        <v/>
      </c>
      <c r="O24" s="9">
        <f>IF(G24&gt;0,1-L24/G24,"")</f>
        <v/>
      </c>
      <c r="P24" s="10" t="n"/>
      <c r="Q24" t="b">
        <v>0</v>
      </c>
      <c r="R24" t="b">
        <v>0</v>
      </c>
      <c r="S24" t="inlineStr"/>
      <c r="T24" t="inlineStr"/>
    </row>
    <row r="25">
      <c r="A25" t="n">
        <v>24</v>
      </c>
      <c r="B25" t="inlineStr">
        <is>
          <t>26</t>
        </is>
      </c>
      <c r="C25" t="inlineStr">
        <is>
          <t>Tasi</t>
        </is>
      </c>
      <c r="D25" t="inlineStr">
        <is>
          <t>Chorizo Pizza</t>
        </is>
      </c>
      <c r="E25" t="inlineStr">
        <is>
          <t>TASPEC</t>
        </is>
      </c>
      <c r="F25" t="inlineStr">
        <is>
          <t>TASPEC07</t>
        </is>
      </c>
      <c r="G25" s="6" t="n">
        <v>0</v>
      </c>
      <c r="H25" s="6" t="n"/>
      <c r="I25" s="7" t="n"/>
      <c r="J25" s="7" t="n"/>
      <c r="K25" s="7" t="n"/>
      <c r="L25" s="8">
        <f>SUMIF(Recipe_Components!$A$2:$A$515,A25,Recipe_Components!$F$2:$F$515)</f>
        <v/>
      </c>
      <c r="M25" s="8">
        <f>IF(AND(K25&lt;&gt;"",L25&lt;&gt;""),L25-K25,"")</f>
        <v/>
      </c>
      <c r="N25" s="8">
        <f>IF(AND(G25&lt;&gt;"",H25&lt;&gt;""),G25-H25,"")</f>
        <v/>
      </c>
      <c r="O25" s="9">
        <f>IF(G25&gt;0,1-L25/G25,"")</f>
        <v/>
      </c>
      <c r="P25" s="10" t="n"/>
      <c r="Q25" t="b">
        <v>0</v>
      </c>
      <c r="R25" t="b">
        <v>0</v>
      </c>
      <c r="S25" t="inlineStr"/>
      <c r="T25" t="inlineStr"/>
    </row>
    <row r="26">
      <c r="A26" t="n">
        <v>25</v>
      </c>
      <c r="B26" t="inlineStr">
        <is>
          <t>27</t>
        </is>
      </c>
      <c r="C26" t="inlineStr">
        <is>
          <t>Tasi</t>
        </is>
      </c>
      <c r="D26" t="inlineStr">
        <is>
          <t>Nduja, Rocket &amp; Parmesan Pizza</t>
        </is>
      </c>
      <c r="E26" t="inlineStr">
        <is>
          <t>TASPEC</t>
        </is>
      </c>
      <c r="F26" t="inlineStr">
        <is>
          <t>TASPEC08</t>
        </is>
      </c>
      <c r="G26" s="6" t="n">
        <v>0</v>
      </c>
      <c r="H26" s="6" t="n">
        <v>2.2</v>
      </c>
      <c r="I26" s="7" t="n">
        <v>1.4860768</v>
      </c>
      <c r="J26" s="7" t="n">
        <v>1.842735232</v>
      </c>
      <c r="K26" s="7" t="n">
        <v>0.44582304</v>
      </c>
      <c r="L26" s="8">
        <f>SUMIF(Recipe_Components!$A$2:$A$515,A26,Recipe_Components!$F$2:$F$515)</f>
        <v/>
      </c>
      <c r="M26" s="8">
        <f>IF(AND(K26&lt;&gt;"",L26&lt;&gt;""),L26-K26,"")</f>
        <v/>
      </c>
      <c r="N26" s="8">
        <f>IF(AND(G26&lt;&gt;"",H26&lt;&gt;""),G26-H26,"")</f>
        <v/>
      </c>
      <c r="O26" s="9">
        <f>IF(G26&gt;0,1-L26/G26,"")</f>
        <v/>
      </c>
      <c r="P26" s="10" t="n"/>
      <c r="Q26" t="b">
        <v>0</v>
      </c>
      <c r="R26" t="b">
        <v>0</v>
      </c>
      <c r="S26" t="inlineStr"/>
    </row>
    <row r="27">
      <c r="A27" t="n">
        <v>26</v>
      </c>
      <c r="B27" t="inlineStr">
        <is>
          <t>28</t>
        </is>
      </c>
      <c r="C27" t="inlineStr">
        <is>
          <t>Tasi</t>
        </is>
      </c>
      <c r="D27" t="inlineStr">
        <is>
          <t>Carpicciosa Pizza</t>
        </is>
      </c>
      <c r="E27" t="inlineStr">
        <is>
          <t>TASPEC</t>
        </is>
      </c>
      <c r="F27" t="inlineStr">
        <is>
          <t>TASPEC09</t>
        </is>
      </c>
      <c r="G27" s="6" t="n">
        <v>0</v>
      </c>
      <c r="H27" s="6" t="n"/>
      <c r="I27" s="7" t="n"/>
      <c r="J27" s="7" t="n"/>
      <c r="K27" s="7" t="n"/>
      <c r="L27" s="8">
        <f>SUMIF(Recipe_Components!$A$2:$A$515,A27,Recipe_Components!$F$2:$F$515)</f>
        <v/>
      </c>
      <c r="M27" s="8">
        <f>IF(AND(K27&lt;&gt;"",L27&lt;&gt;""),L27-K27,"")</f>
        <v/>
      </c>
      <c r="N27" s="8">
        <f>IF(AND(G27&lt;&gt;"",H27&lt;&gt;""),G27-H27,"")</f>
        <v/>
      </c>
      <c r="O27" s="9">
        <f>IF(G27&gt;0,1-L27/G27,"")</f>
        <v/>
      </c>
      <c r="P27" s="10" t="n"/>
      <c r="Q27" t="b">
        <v>0</v>
      </c>
      <c r="R27" t="b">
        <v>0</v>
      </c>
      <c r="S27" t="inlineStr"/>
      <c r="T27" t="inlineStr"/>
    </row>
    <row r="28">
      <c r="A28" t="n">
        <v>27</v>
      </c>
      <c r="B28" t="inlineStr">
        <is>
          <t>29</t>
        </is>
      </c>
      <c r="C28" t="inlineStr">
        <is>
          <t>Tasi</t>
        </is>
      </c>
      <c r="D28" t="inlineStr">
        <is>
          <t>Anchovie &amp; Salsa Verde Pizza</t>
        </is>
      </c>
      <c r="E28" t="inlineStr">
        <is>
          <t>TASPEC</t>
        </is>
      </c>
      <c r="F28" t="inlineStr">
        <is>
          <t>TASPEC10</t>
        </is>
      </c>
      <c r="G28" s="6" t="n">
        <v>0</v>
      </c>
      <c r="H28" s="6" t="n"/>
      <c r="I28" s="7" t="n"/>
      <c r="J28" s="7" t="n"/>
      <c r="K28" s="7" t="n"/>
      <c r="L28" s="8">
        <f>SUMIF(Recipe_Components!$A$2:$A$515,A28,Recipe_Components!$F$2:$F$515)</f>
        <v/>
      </c>
      <c r="M28" s="8">
        <f>IF(AND(K28&lt;&gt;"",L28&lt;&gt;""),L28-K28,"")</f>
        <v/>
      </c>
      <c r="N28" s="8">
        <f>IF(AND(G28&lt;&gt;"",H28&lt;&gt;""),G28-H28,"")</f>
        <v/>
      </c>
      <c r="O28" s="9">
        <f>IF(G28&gt;0,1-L28/G28,"")</f>
        <v/>
      </c>
      <c r="P28" s="10" t="n"/>
      <c r="Q28" t="b">
        <v>0</v>
      </c>
      <c r="R28" t="b">
        <v>0</v>
      </c>
      <c r="S28" t="inlineStr"/>
      <c r="T28" t="inlineStr"/>
    </row>
    <row r="29">
      <c r="A29" t="n">
        <v>28</v>
      </c>
      <c r="B29" t="inlineStr">
        <is>
          <t>30</t>
        </is>
      </c>
      <c r="C29" t="inlineStr">
        <is>
          <t>Tasi</t>
        </is>
      </c>
      <c r="D29" t="inlineStr">
        <is>
          <t>Mediteranian Veg Pizza</t>
        </is>
      </c>
      <c r="E29" t="inlineStr">
        <is>
          <t>TASPEC</t>
        </is>
      </c>
      <c r="F29" t="inlineStr">
        <is>
          <t>TASPEC11</t>
        </is>
      </c>
      <c r="G29" s="6" t="n">
        <v>0</v>
      </c>
      <c r="H29" s="6" t="n"/>
      <c r="I29" s="7" t="n"/>
      <c r="J29" s="7" t="n"/>
      <c r="K29" s="7" t="n"/>
      <c r="L29" s="8">
        <f>SUMIF(Recipe_Components!$A$2:$A$515,A29,Recipe_Components!$F$2:$F$515)</f>
        <v/>
      </c>
      <c r="M29" s="8">
        <f>IF(AND(K29&lt;&gt;"",L29&lt;&gt;""),L29-K29,"")</f>
        <v/>
      </c>
      <c r="N29" s="8">
        <f>IF(AND(G29&lt;&gt;"",H29&lt;&gt;""),G29-H29,"")</f>
        <v/>
      </c>
      <c r="O29" s="9">
        <f>IF(G29&gt;0,1-L29/G29,"")</f>
        <v/>
      </c>
      <c r="P29" s="10" t="n"/>
      <c r="Q29" t="b">
        <v>0</v>
      </c>
      <c r="R29" t="b">
        <v>0</v>
      </c>
      <c r="S29" t="inlineStr"/>
      <c r="T29" t="inlineStr"/>
    </row>
    <row r="30">
      <c r="A30" t="n">
        <v>29</v>
      </c>
      <c r="B30" t="inlineStr">
        <is>
          <t>34</t>
        </is>
      </c>
      <c r="C30" t="inlineStr">
        <is>
          <t>Tasi</t>
        </is>
      </c>
      <c r="D30" t="inlineStr">
        <is>
          <t>Caesar salad</t>
        </is>
      </c>
      <c r="E30" t="inlineStr">
        <is>
          <t>TASALAD</t>
        </is>
      </c>
      <c r="F30" t="inlineStr">
        <is>
          <t>TASALAD01</t>
        </is>
      </c>
      <c r="G30" s="6" t="n">
        <v>20</v>
      </c>
      <c r="H30" s="6" t="n">
        <v>8.800000000000001</v>
      </c>
      <c r="I30" s="7" t="n">
        <v>5.712133333</v>
      </c>
      <c r="J30" s="7" t="n">
        <v>7.083045333</v>
      </c>
      <c r="K30" s="7" t="n">
        <v>1.71364</v>
      </c>
      <c r="L30" s="8">
        <f>SUMIF(Recipe_Components!$A$2:$A$515,A30,Recipe_Components!$F$2:$F$515)</f>
        <v/>
      </c>
      <c r="M30" s="8">
        <f>IF(AND(K30&lt;&gt;"",L30&lt;&gt;""),L30-K30,"")</f>
        <v/>
      </c>
      <c r="N30" s="8">
        <f>IF(AND(G30&lt;&gt;"",H30&lt;&gt;""),G30-H30,"")</f>
        <v/>
      </c>
      <c r="O30" s="9">
        <f>IF(G30&gt;0,1-L30/G30,"")</f>
        <v/>
      </c>
      <c r="P30" s="10" t="n"/>
      <c r="Q30" t="b">
        <v>0</v>
      </c>
      <c r="R30" t="b">
        <v>0</v>
      </c>
      <c r="S30" t="inlineStr">
        <is>
          <t>11.2</t>
        </is>
      </c>
      <c r="T30" t="inlineStr">
        <is>
          <t>0.89375432</t>
        </is>
      </c>
    </row>
    <row r="31">
      <c r="A31" t="n">
        <v>30</v>
      </c>
      <c r="B31" t="inlineStr">
        <is>
          <t>35</t>
        </is>
      </c>
      <c r="C31" t="inlineStr">
        <is>
          <t>Tasi</t>
        </is>
      </c>
      <c r="D31" t="inlineStr">
        <is>
          <t>Greek Salad</t>
        </is>
      </c>
      <c r="E31" t="inlineStr">
        <is>
          <t>TASALAD</t>
        </is>
      </c>
      <c r="F31" t="inlineStr">
        <is>
          <t>TASALAD02</t>
        </is>
      </c>
      <c r="G31" s="6" t="n">
        <v>14</v>
      </c>
      <c r="H31" s="6" t="n">
        <v>7.7</v>
      </c>
      <c r="I31" s="7" t="n">
        <v>5.149</v>
      </c>
      <c r="J31" s="7" t="n">
        <v>6.38476</v>
      </c>
      <c r="K31" s="7" t="n">
        <v>1.5447</v>
      </c>
      <c r="L31" s="8">
        <f>SUMIF(Recipe_Components!$A$2:$A$515,A31,Recipe_Components!$F$2:$F$515)</f>
        <v/>
      </c>
      <c r="M31" s="8">
        <f>IF(AND(K31&lt;&gt;"",L31&lt;&gt;""),L31-K31,"")</f>
        <v/>
      </c>
      <c r="N31" s="8">
        <f>IF(AND(G31&lt;&gt;"",H31&lt;&gt;""),G31-H31,"")</f>
        <v/>
      </c>
      <c r="O31" s="9">
        <f>IF(G31&gt;0,1-L31/G31,"")</f>
        <v/>
      </c>
      <c r="P31" s="10" t="n"/>
      <c r="Q31" t="b">
        <v>0</v>
      </c>
      <c r="R31" t="b">
        <v>0</v>
      </c>
      <c r="S31" t="inlineStr">
        <is>
          <t>6.3</t>
        </is>
      </c>
      <c r="T31" t="inlineStr">
        <is>
          <t>0.8631837143</t>
        </is>
      </c>
    </row>
    <row r="32">
      <c r="A32" t="n">
        <v>31</v>
      </c>
      <c r="B32" t="inlineStr">
        <is>
          <t>36</t>
        </is>
      </c>
      <c r="C32" t="inlineStr">
        <is>
          <t>Tasi</t>
        </is>
      </c>
      <c r="D32" t="inlineStr">
        <is>
          <t>Watermelon &amp; Feta salad</t>
        </is>
      </c>
      <c r="E32" t="inlineStr">
        <is>
          <t>TASALAD</t>
        </is>
      </c>
      <c r="F32" t="inlineStr">
        <is>
          <t>TASALAD03</t>
        </is>
      </c>
      <c r="G32" s="6" t="n"/>
      <c r="H32" s="6" t="n">
        <v>6.6</v>
      </c>
      <c r="I32" s="7" t="n">
        <v>4.372166667</v>
      </c>
      <c r="J32" s="7" t="n">
        <v>5.421486667</v>
      </c>
      <c r="K32" s="7" t="n">
        <v>1.31165</v>
      </c>
      <c r="L32" s="8">
        <f>SUMIF(Recipe_Components!$A$2:$A$515,A32,Recipe_Components!$F$2:$F$515)</f>
        <v/>
      </c>
      <c r="M32" s="8">
        <f>IF(AND(K32&lt;&gt;"",L32&lt;&gt;""),L32-K32,"")</f>
        <v/>
      </c>
      <c r="N32" s="8">
        <f>IF(AND(G32&lt;&gt;"",H32&lt;&gt;""),G32-H32,"")</f>
        <v/>
      </c>
      <c r="O32" s="9">
        <f>IF(G32&gt;0,1-L32/G32,"")</f>
        <v/>
      </c>
      <c r="P32" s="10" t="n"/>
      <c r="Q32" t="b">
        <v>0</v>
      </c>
      <c r="R32" t="b">
        <v>0</v>
      </c>
      <c r="S32" t="inlineStr">
        <is>
          <t>-6.6</t>
        </is>
      </c>
    </row>
    <row r="33">
      <c r="A33" t="n">
        <v>32</v>
      </c>
      <c r="B33" t="inlineStr">
        <is>
          <t>37</t>
        </is>
      </c>
      <c r="C33" t="inlineStr">
        <is>
          <t>Tasi</t>
        </is>
      </c>
      <c r="D33" t="inlineStr">
        <is>
          <t>Pulled lamb salad</t>
        </is>
      </c>
      <c r="E33" t="inlineStr">
        <is>
          <t>TASALAD</t>
        </is>
      </c>
      <c r="F33" t="inlineStr">
        <is>
          <t>TASALAD04</t>
        </is>
      </c>
      <c r="G33" s="6" t="n">
        <v>18</v>
      </c>
      <c r="H33" s="6" t="n">
        <v>14.3</v>
      </c>
      <c r="I33" s="7" t="n">
        <v>10.07915432</v>
      </c>
      <c r="J33" s="7" t="n">
        <v>12.49815135</v>
      </c>
      <c r="K33" s="7" t="n">
        <v>3.023746295</v>
      </c>
      <c r="L33" s="8">
        <f>SUMIF(Recipe_Components!$A$2:$A$515,A33,Recipe_Components!$F$2:$F$515)</f>
        <v/>
      </c>
      <c r="M33" s="8">
        <f>IF(AND(K33&lt;&gt;"",L33&lt;&gt;""),L33-K33,"")</f>
        <v/>
      </c>
      <c r="N33" s="8">
        <f>IF(AND(G33&lt;&gt;"",H33&lt;&gt;""),G33-H33,"")</f>
        <v/>
      </c>
      <c r="O33" s="9">
        <f>IF(G33&gt;0,1-L33/G33,"")</f>
        <v/>
      </c>
      <c r="P33" s="10" t="n"/>
      <c r="Q33" t="b">
        <v>0</v>
      </c>
      <c r="R33" t="b">
        <v>0</v>
      </c>
      <c r="S33" t="inlineStr">
        <is>
          <t>3.7</t>
        </is>
      </c>
      <c r="T33" t="inlineStr">
        <is>
          <t>0.7916974775</t>
        </is>
      </c>
    </row>
    <row r="34">
      <c r="A34" t="n">
        <v>33</v>
      </c>
      <c r="B34" t="inlineStr">
        <is>
          <t>39</t>
        </is>
      </c>
      <c r="C34" t="inlineStr">
        <is>
          <t>Tasi</t>
        </is>
      </c>
      <c r="D34" t="inlineStr">
        <is>
          <t>Margherita pizza</t>
        </is>
      </c>
      <c r="E34" t="inlineStr">
        <is>
          <t>TAPIZZA</t>
        </is>
      </c>
      <c r="F34" t="inlineStr">
        <is>
          <t>TAPIZZA01</t>
        </is>
      </c>
      <c r="G34" s="6" t="n">
        <v>15</v>
      </c>
      <c r="H34" s="6" t="n">
        <v>18.7</v>
      </c>
      <c r="I34" s="7" t="n">
        <v>13.0318073</v>
      </c>
      <c r="J34" s="7" t="n">
        <v>16.15944106</v>
      </c>
      <c r="K34" s="7" t="n">
        <v>3.909542191</v>
      </c>
      <c r="L34" s="8">
        <f>SUMIF(Recipe_Components!$A$2:$A$515,A34,Recipe_Components!$F$2:$F$515)</f>
        <v/>
      </c>
      <c r="M34" s="8">
        <f>IF(AND(K34&lt;&gt;"",L34&lt;&gt;""),L34-K34,"")</f>
        <v/>
      </c>
      <c r="N34" s="8">
        <f>IF(AND(G34&lt;&gt;"",H34&lt;&gt;""),G34-H34,"")</f>
        <v/>
      </c>
      <c r="O34" s="9">
        <f>IF(G34&gt;0,1-L34/G34,"")</f>
        <v/>
      </c>
      <c r="P34" s="10" t="n"/>
      <c r="Q34" t="b">
        <v>0</v>
      </c>
      <c r="R34" t="b">
        <v>0</v>
      </c>
      <c r="S34" t="inlineStr">
        <is>
          <t>-3.7</t>
        </is>
      </c>
      <c r="T34" t="inlineStr">
        <is>
          <t>0.6768111789</t>
        </is>
      </c>
    </row>
    <row r="35">
      <c r="A35" t="n">
        <v>34</v>
      </c>
      <c r="B35" t="inlineStr">
        <is>
          <t>40</t>
        </is>
      </c>
      <c r="C35" t="inlineStr">
        <is>
          <t>Tasi</t>
        </is>
      </c>
      <c r="D35" t="inlineStr">
        <is>
          <t>Mushroom and truffle pizza</t>
        </is>
      </c>
      <c r="E35" t="inlineStr">
        <is>
          <t>TAPIZZA</t>
        </is>
      </c>
      <c r="F35" t="inlineStr">
        <is>
          <t>TAPIZZA02</t>
        </is>
      </c>
      <c r="G35" s="6" t="n">
        <v>18</v>
      </c>
      <c r="H35" s="6" t="n">
        <v>15.4</v>
      </c>
      <c r="I35" s="7" t="n">
        <v>11.27321013</v>
      </c>
      <c r="J35" s="7" t="n">
        <v>13.97878057</v>
      </c>
      <c r="K35" s="7" t="n">
        <v>3.38196304</v>
      </c>
      <c r="L35" s="8">
        <f>SUMIF(Recipe_Components!$A$2:$A$515,A35,Recipe_Components!$F$2:$F$515)</f>
        <v/>
      </c>
      <c r="M35" s="8">
        <f>IF(AND(K35&lt;&gt;"",L35&lt;&gt;""),L35-K35,"")</f>
        <v/>
      </c>
      <c r="N35" s="8">
        <f>IF(AND(G35&lt;&gt;"",H35&lt;&gt;""),G35-H35,"")</f>
        <v/>
      </c>
      <c r="O35" s="9">
        <f>IF(G35&gt;0,1-L35/G35,"")</f>
        <v/>
      </c>
      <c r="P35" s="10" t="n"/>
      <c r="Q35" t="b">
        <v>0</v>
      </c>
      <c r="R35" t="b">
        <v>0</v>
      </c>
      <c r="S35" t="inlineStr">
        <is>
          <t>2.6</t>
        </is>
      </c>
      <c r="T35" t="inlineStr">
        <is>
          <t>0.7670203239</t>
        </is>
      </c>
    </row>
    <row r="36">
      <c r="A36" t="n">
        <v>35</v>
      </c>
      <c r="B36" t="inlineStr">
        <is>
          <t>41</t>
        </is>
      </c>
      <c r="C36" t="inlineStr">
        <is>
          <t>Tasi</t>
        </is>
      </c>
      <c r="D36" t="inlineStr">
        <is>
          <t>Parma ham pizza</t>
        </is>
      </c>
      <c r="E36" t="inlineStr">
        <is>
          <t>TAPIZZA</t>
        </is>
      </c>
      <c r="F36" t="inlineStr">
        <is>
          <t>TAPIZZA03</t>
        </is>
      </c>
      <c r="G36" s="6" t="n">
        <v>19</v>
      </c>
      <c r="H36" s="6" t="n">
        <v>18.7</v>
      </c>
      <c r="I36" s="7" t="n">
        <v>13.37457397</v>
      </c>
      <c r="J36" s="7" t="n">
        <v>16.58447172</v>
      </c>
      <c r="K36" s="7" t="n">
        <v>4.012372191</v>
      </c>
      <c r="L36" s="8">
        <f>SUMIF(Recipe_Components!$A$2:$A$515,A36,Recipe_Components!$F$2:$F$515)</f>
        <v/>
      </c>
      <c r="M36" s="8">
        <f>IF(AND(K36&lt;&gt;"",L36&lt;&gt;""),L36-K36,"")</f>
        <v/>
      </c>
      <c r="N36" s="8">
        <f>IF(AND(G36&lt;&gt;"",H36&lt;&gt;""),G36-H36,"")</f>
        <v/>
      </c>
      <c r="O36" s="9">
        <f>IF(G36&gt;0,1-L36/G36,"")</f>
        <v/>
      </c>
      <c r="P36" s="10" t="n"/>
      <c r="Q36" t="b">
        <v>0</v>
      </c>
      <c r="R36" t="b">
        <v>0</v>
      </c>
      <c r="S36" t="inlineStr">
        <is>
          <t>0.3</t>
        </is>
      </c>
      <c r="T36" t="inlineStr">
        <is>
          <t>0.7381399202</t>
        </is>
      </c>
    </row>
    <row r="37">
      <c r="A37" t="n">
        <v>36</v>
      </c>
      <c r="B37" t="inlineStr">
        <is>
          <t>42</t>
        </is>
      </c>
      <c r="C37" t="inlineStr">
        <is>
          <t>Tasi</t>
        </is>
      </c>
      <c r="D37" t="inlineStr">
        <is>
          <t>Courgette, ricotta pizza</t>
        </is>
      </c>
      <c r="E37" t="inlineStr">
        <is>
          <t>TAPIZZA</t>
        </is>
      </c>
      <c r="F37" t="inlineStr">
        <is>
          <t>TAPIZZA04</t>
        </is>
      </c>
      <c r="G37" s="6" t="n">
        <v>15</v>
      </c>
      <c r="H37" s="6" t="n">
        <v>18.7</v>
      </c>
      <c r="I37" s="7" t="n">
        <v>13.66101013</v>
      </c>
      <c r="J37" s="7" t="n">
        <v>16.93965257</v>
      </c>
      <c r="K37" s="7" t="n">
        <v>4.09830304</v>
      </c>
      <c r="L37" s="8">
        <f>SUMIF(Recipe_Components!$A$2:$A$515,A37,Recipe_Components!$F$2:$F$515)</f>
        <v/>
      </c>
      <c r="M37" s="8">
        <f>IF(AND(K37&lt;&gt;"",L37&lt;&gt;""),L37-K37,"")</f>
        <v/>
      </c>
      <c r="N37" s="8">
        <f>IF(AND(G37&lt;&gt;"",H37&lt;&gt;""),G37-H37,"")</f>
        <v/>
      </c>
      <c r="O37" s="9">
        <f>IF(G37&gt;0,1-L37/G37,"")</f>
        <v/>
      </c>
      <c r="P37" s="10" t="n"/>
      <c r="Q37" t="b">
        <v>0</v>
      </c>
      <c r="R37" t="b">
        <v>0</v>
      </c>
      <c r="S37" t="inlineStr">
        <is>
          <t>-3.7</t>
        </is>
      </c>
      <c r="T37" t="inlineStr">
        <is>
          <t>0.6612069487</t>
        </is>
      </c>
    </row>
    <row r="38">
      <c r="A38" t="n">
        <v>37</v>
      </c>
      <c r="B38" t="inlineStr">
        <is>
          <t>43</t>
        </is>
      </c>
      <c r="C38" t="inlineStr">
        <is>
          <t>Tasi</t>
        </is>
      </c>
      <c r="D38" t="inlineStr">
        <is>
          <t>Salami pizza</t>
        </is>
      </c>
      <c r="E38" t="inlineStr">
        <is>
          <t>TAPIZZA</t>
        </is>
      </c>
      <c r="F38" t="inlineStr">
        <is>
          <t>TAPIZZA05</t>
        </is>
      </c>
      <c r="G38" s="6" t="n">
        <v>18</v>
      </c>
      <c r="H38" s="6" t="n">
        <v>14.3</v>
      </c>
      <c r="I38" s="7" t="n">
        <v>10.1093073</v>
      </c>
      <c r="J38" s="7" t="n">
        <v>12.53554106</v>
      </c>
      <c r="K38" s="7" t="n">
        <v>3.032792191</v>
      </c>
      <c r="L38" s="8">
        <f>SUMIF(Recipe_Components!$A$2:$A$515,A38,Recipe_Components!$F$2:$F$515)</f>
        <v/>
      </c>
      <c r="M38" s="8">
        <f>IF(AND(K38&lt;&gt;"",L38&lt;&gt;""),L38-K38,"")</f>
        <v/>
      </c>
      <c r="N38" s="8">
        <f>IF(AND(G38&lt;&gt;"",H38&lt;&gt;""),G38-H38,"")</f>
        <v/>
      </c>
      <c r="O38" s="9">
        <f>IF(G38&gt;0,1-L38/G38,"")</f>
        <v/>
      </c>
      <c r="P38" s="10" t="n"/>
      <c r="Q38" t="b">
        <v>0</v>
      </c>
      <c r="R38" t="b">
        <v>0</v>
      </c>
      <c r="S38" t="inlineStr">
        <is>
          <t>3.7</t>
        </is>
      </c>
      <c r="T38" t="inlineStr">
        <is>
          <t>0.7910743157</t>
        </is>
      </c>
    </row>
    <row r="39">
      <c r="A39" t="n">
        <v>38</v>
      </c>
      <c r="B39" t="inlineStr">
        <is>
          <t>45</t>
        </is>
      </c>
      <c r="C39" t="inlineStr">
        <is>
          <t>Tasi</t>
        </is>
      </c>
      <c r="D39" t="inlineStr">
        <is>
          <t>Regular fries</t>
        </is>
      </c>
      <c r="E39" t="inlineStr">
        <is>
          <t>TASIDES</t>
        </is>
      </c>
      <c r="F39" t="inlineStr">
        <is>
          <t>TASIDES01</t>
        </is>
      </c>
      <c r="G39" s="6" t="n">
        <v>5</v>
      </c>
      <c r="H39" s="6" t="n">
        <v>2.2</v>
      </c>
      <c r="I39" s="7" t="n">
        <v>1.52</v>
      </c>
      <c r="J39" s="7" t="n">
        <v>1.8848</v>
      </c>
      <c r="K39" s="7" t="n">
        <v>0.456</v>
      </c>
      <c r="L39" s="8">
        <f>SUMIF(Recipe_Components!$A$2:$A$515,A39,Recipe_Components!$F$2:$F$515)</f>
        <v/>
      </c>
      <c r="M39" s="8">
        <f>IF(AND(K39&lt;&gt;"",L39&lt;&gt;""),L39-K39,"")</f>
        <v/>
      </c>
      <c r="N39" s="8">
        <f>IF(AND(G39&lt;&gt;"",H39&lt;&gt;""),G39-H39,"")</f>
        <v/>
      </c>
      <c r="O39" s="9">
        <f>IF(G39&gt;0,1-L39/G39,"")</f>
        <v/>
      </c>
      <c r="P39" s="10" t="n"/>
      <c r="Q39" t="b">
        <v>0</v>
      </c>
      <c r="R39" t="b">
        <v>0</v>
      </c>
      <c r="S39" t="inlineStr">
        <is>
          <t>2.8</t>
        </is>
      </c>
      <c r="T39" t="inlineStr">
        <is>
          <t>0.886912</t>
        </is>
      </c>
    </row>
    <row r="40">
      <c r="A40" t="n">
        <v>39</v>
      </c>
      <c r="B40" t="inlineStr">
        <is>
          <t>46</t>
        </is>
      </c>
      <c r="C40" t="inlineStr">
        <is>
          <t>Tasi</t>
        </is>
      </c>
      <c r="D40" t="inlineStr">
        <is>
          <t>Parmesan fries</t>
        </is>
      </c>
      <c r="E40" t="inlineStr">
        <is>
          <t>TASIDES</t>
        </is>
      </c>
      <c r="F40" t="inlineStr">
        <is>
          <t>TASIDES02</t>
        </is>
      </c>
      <c r="G40" s="6" t="n"/>
      <c r="H40" s="6" t="n">
        <v>4.4</v>
      </c>
      <c r="I40" s="7" t="n">
        <v>2.9</v>
      </c>
      <c r="J40" s="7" t="n">
        <v>3.596</v>
      </c>
      <c r="K40" s="7" t="n">
        <v>0.87</v>
      </c>
      <c r="L40" s="8">
        <f>SUMIF(Recipe_Components!$A$2:$A$515,A40,Recipe_Components!$F$2:$F$515)</f>
        <v/>
      </c>
      <c r="M40" s="8">
        <f>IF(AND(K40&lt;&gt;"",L40&lt;&gt;""),L40-K40,"")</f>
        <v/>
      </c>
      <c r="N40" s="8">
        <f>IF(AND(G40&lt;&gt;"",H40&lt;&gt;""),G40-H40,"")</f>
        <v/>
      </c>
      <c r="O40" s="9">
        <f>IF(G40&gt;0,1-L40/G40,"")</f>
        <v/>
      </c>
      <c r="P40" s="10" t="n"/>
      <c r="Q40" t="b">
        <v>0</v>
      </c>
      <c r="R40" t="b">
        <v>0</v>
      </c>
      <c r="S40" t="inlineStr">
        <is>
          <t>-4.4</t>
        </is>
      </c>
    </row>
    <row r="41">
      <c r="A41" t="n">
        <v>40</v>
      </c>
      <c r="B41" t="inlineStr">
        <is>
          <t>47</t>
        </is>
      </c>
      <c r="C41" t="inlineStr">
        <is>
          <t>Tasi</t>
        </is>
      </c>
      <c r="D41" t="inlineStr">
        <is>
          <t>Basil butter baby potatoes</t>
        </is>
      </c>
      <c r="E41" t="inlineStr">
        <is>
          <t>TASIDES</t>
        </is>
      </c>
      <c r="F41" t="inlineStr">
        <is>
          <t>TASIDES03</t>
        </is>
      </c>
      <c r="G41" s="6" t="n">
        <v>5</v>
      </c>
      <c r="H41" s="6" t="n">
        <v>1.1</v>
      </c>
      <c r="I41" s="7" t="n">
        <v>0.3666666667</v>
      </c>
      <c r="J41" s="7" t="n">
        <v>0.4546666667</v>
      </c>
      <c r="K41" s="7" t="n">
        <v>0.11</v>
      </c>
      <c r="L41" s="8">
        <f>SUMIF(Recipe_Components!$A$2:$A$515,A41,Recipe_Components!$F$2:$F$515)</f>
        <v/>
      </c>
      <c r="M41" s="8">
        <f>IF(AND(K41&lt;&gt;"",L41&lt;&gt;""),L41-K41,"")</f>
        <v/>
      </c>
      <c r="N41" s="8">
        <f>IF(AND(G41&lt;&gt;"",H41&lt;&gt;""),G41-H41,"")</f>
        <v/>
      </c>
      <c r="O41" s="9">
        <f>IF(G41&gt;0,1-L41/G41,"")</f>
        <v/>
      </c>
      <c r="P41" s="10" t="n"/>
      <c r="Q41" t="b">
        <v>0</v>
      </c>
      <c r="R41" t="b">
        <v>0</v>
      </c>
      <c r="S41" t="inlineStr">
        <is>
          <t>3.9</t>
        </is>
      </c>
      <c r="T41" t="inlineStr">
        <is>
          <t>0.97272</t>
        </is>
      </c>
    </row>
    <row r="42">
      <c r="A42" t="n">
        <v>41</v>
      </c>
      <c r="B42" t="inlineStr">
        <is>
          <t>48</t>
        </is>
      </c>
      <c r="C42" t="inlineStr">
        <is>
          <t>Tasi</t>
        </is>
      </c>
      <c r="D42" t="inlineStr">
        <is>
          <t>Local wilted greens</t>
        </is>
      </c>
      <c r="E42" t="inlineStr">
        <is>
          <t>TASIDES</t>
        </is>
      </c>
      <c r="F42" t="inlineStr">
        <is>
          <t>TASIDES04</t>
        </is>
      </c>
      <c r="G42" s="6" t="n">
        <v>4</v>
      </c>
      <c r="H42" s="6" t="n">
        <v>4.4</v>
      </c>
      <c r="I42" s="7" t="n">
        <v>3.2</v>
      </c>
      <c r="J42" s="7" t="n">
        <v>3.968</v>
      </c>
      <c r="K42" s="7" t="n">
        <v>0.96</v>
      </c>
      <c r="L42" s="8">
        <f>SUMIF(Recipe_Components!$A$2:$A$515,A42,Recipe_Components!$F$2:$F$515)</f>
        <v/>
      </c>
      <c r="M42" s="8">
        <f>IF(AND(K42&lt;&gt;"",L42&lt;&gt;""),L42-K42,"")</f>
        <v/>
      </c>
      <c r="N42" s="8">
        <f>IF(AND(G42&lt;&gt;"",H42&lt;&gt;""),G42-H42,"")</f>
        <v/>
      </c>
      <c r="O42" s="9">
        <f>IF(G42&gt;0,1-L42/G42,"")</f>
        <v/>
      </c>
      <c r="P42" s="10" t="n"/>
      <c r="Q42" t="b">
        <v>0</v>
      </c>
      <c r="R42" t="b">
        <v>0</v>
      </c>
      <c r="S42" t="inlineStr">
        <is>
          <t>-0.4</t>
        </is>
      </c>
      <c r="T42" t="inlineStr">
        <is>
          <t>0.7024</t>
        </is>
      </c>
    </row>
    <row r="43">
      <c r="A43" t="n">
        <v>42</v>
      </c>
      <c r="B43" t="inlineStr">
        <is>
          <t>49</t>
        </is>
      </c>
      <c r="C43" t="inlineStr">
        <is>
          <t>Tasi</t>
        </is>
      </c>
      <c r="D43" t="inlineStr">
        <is>
          <t>Leaf salad</t>
        </is>
      </c>
      <c r="E43" t="inlineStr">
        <is>
          <t>TASIDES</t>
        </is>
      </c>
      <c r="F43" t="inlineStr">
        <is>
          <t>TASIDES05</t>
        </is>
      </c>
      <c r="G43" s="6" t="n">
        <v>4</v>
      </c>
      <c r="H43" s="6" t="n">
        <v>4.4</v>
      </c>
      <c r="I43" s="7" t="n">
        <v>3.16325</v>
      </c>
      <c r="J43" s="7" t="n">
        <v>3.92243</v>
      </c>
      <c r="K43" s="7" t="n">
        <v>0.948975</v>
      </c>
      <c r="L43" s="8">
        <f>SUMIF(Recipe_Components!$A$2:$A$515,A43,Recipe_Components!$F$2:$F$515)</f>
        <v/>
      </c>
      <c r="M43" s="8">
        <f>IF(AND(K43&lt;&gt;"",L43&lt;&gt;""),L43-K43,"")</f>
        <v/>
      </c>
      <c r="N43" s="8">
        <f>IF(AND(G43&lt;&gt;"",H43&lt;&gt;""),G43-H43,"")</f>
        <v/>
      </c>
      <c r="O43" s="9">
        <f>IF(G43&gt;0,1-L43/G43,"")</f>
        <v/>
      </c>
      <c r="P43" s="10" t="n"/>
      <c r="Q43" t="b">
        <v>0</v>
      </c>
      <c r="R43" t="b">
        <v>0</v>
      </c>
      <c r="S43" t="inlineStr">
        <is>
          <t>-0.4</t>
        </is>
      </c>
      <c r="T43" t="inlineStr">
        <is>
          <t>0.70581775</t>
        </is>
      </c>
    </row>
    <row r="44">
      <c r="A44" t="n">
        <v>43</v>
      </c>
      <c r="B44" t="inlineStr">
        <is>
          <t>50</t>
        </is>
      </c>
      <c r="C44" t="inlineStr">
        <is>
          <t>Tasi</t>
        </is>
      </c>
      <c r="D44" t="inlineStr">
        <is>
          <t>Broccoli</t>
        </is>
      </c>
      <c r="E44" t="inlineStr">
        <is>
          <t>TASIDES</t>
        </is>
      </c>
      <c r="F44" t="inlineStr">
        <is>
          <t>TASIDES06</t>
        </is>
      </c>
      <c r="G44" s="6" t="n">
        <v>6</v>
      </c>
      <c r="H44" s="6" t="n"/>
      <c r="I44" s="7" t="n"/>
      <c r="J44" s="7" t="n"/>
      <c r="K44" s="7" t="n"/>
      <c r="L44" s="8">
        <f>SUMIF(Recipe_Components!$A$2:$A$515,A44,Recipe_Components!$F$2:$F$515)</f>
        <v/>
      </c>
      <c r="M44" s="8">
        <f>IF(AND(K44&lt;&gt;"",L44&lt;&gt;""),L44-K44,"")</f>
        <v/>
      </c>
      <c r="N44" s="8">
        <f>IF(AND(G44&lt;&gt;"",H44&lt;&gt;""),G44-H44,"")</f>
        <v/>
      </c>
      <c r="O44" s="9">
        <f>IF(G44&gt;0,1-L44/G44,"")</f>
        <v/>
      </c>
      <c r="P44" s="10" t="n"/>
      <c r="Q44" t="b">
        <v>0</v>
      </c>
      <c r="R44" t="b">
        <v>0</v>
      </c>
      <c r="S44" t="inlineStr">
        <is>
          <t>6</t>
        </is>
      </c>
      <c r="T44" t="inlineStr">
        <is>
          <t>1</t>
        </is>
      </c>
    </row>
    <row r="45">
      <c r="A45" t="n">
        <v>44</v>
      </c>
      <c r="B45" t="inlineStr">
        <is>
          <t>52</t>
        </is>
      </c>
      <c r="C45" t="inlineStr">
        <is>
          <t>Tasi</t>
        </is>
      </c>
      <c r="D45" t="inlineStr">
        <is>
          <t>Toasted sourdough w butter and jam</t>
        </is>
      </c>
      <c r="E45" t="inlineStr">
        <is>
          <t>TABREAK</t>
        </is>
      </c>
      <c r="F45" t="inlineStr">
        <is>
          <t>TABREAK01</t>
        </is>
      </c>
      <c r="G45" s="6" t="n">
        <v>5</v>
      </c>
      <c r="H45" s="6" t="n">
        <v>2.2</v>
      </c>
      <c r="I45" s="7" t="n">
        <v>1.585</v>
      </c>
      <c r="J45" s="7" t="n">
        <v>1.9654</v>
      </c>
      <c r="K45" s="7" t="n">
        <v>0.4755</v>
      </c>
      <c r="L45" s="8">
        <f>SUMIF(Recipe_Components!$A$2:$A$515,A45,Recipe_Components!$F$2:$F$515)</f>
        <v/>
      </c>
      <c r="M45" s="8">
        <f>IF(AND(K45&lt;&gt;"",L45&lt;&gt;""),L45-K45,"")</f>
        <v/>
      </c>
      <c r="N45" s="8">
        <f>IF(AND(G45&lt;&gt;"",H45&lt;&gt;""),G45-H45,"")</f>
        <v/>
      </c>
      <c r="O45" s="9">
        <f>IF(G45&gt;0,1-L45/G45,"")</f>
        <v/>
      </c>
      <c r="P45" s="10" t="n"/>
      <c r="Q45" t="b">
        <v>0</v>
      </c>
      <c r="R45" t="b">
        <v>0</v>
      </c>
      <c r="S45" t="inlineStr">
        <is>
          <t>2.8</t>
        </is>
      </c>
      <c r="T45" t="inlineStr">
        <is>
          <t>0.882076</t>
        </is>
      </c>
    </row>
    <row r="46">
      <c r="A46" t="n">
        <v>45</v>
      </c>
      <c r="B46" t="inlineStr">
        <is>
          <t>53</t>
        </is>
      </c>
      <c r="C46" t="inlineStr">
        <is>
          <t>Tasi</t>
        </is>
      </c>
      <c r="D46" t="inlineStr">
        <is>
          <t>Fresh watermelon slices</t>
        </is>
      </c>
      <c r="E46" t="inlineStr">
        <is>
          <t>TABREAK</t>
        </is>
      </c>
      <c r="F46" t="inlineStr">
        <is>
          <t>TABREAK02</t>
        </is>
      </c>
      <c r="G46" s="6" t="n"/>
      <c r="H46" s="6" t="n">
        <v>1.1</v>
      </c>
      <c r="I46" s="7" t="n">
        <v>0.4333333333</v>
      </c>
      <c r="J46" s="7" t="n">
        <v>0.5373333333</v>
      </c>
      <c r="K46" s="7" t="n">
        <v>0.13</v>
      </c>
      <c r="L46" s="8">
        <f>SUMIF(Recipe_Components!$A$2:$A$515,A46,Recipe_Components!$F$2:$F$515)</f>
        <v/>
      </c>
      <c r="M46" s="8">
        <f>IF(AND(K46&lt;&gt;"",L46&lt;&gt;""),L46-K46,"")</f>
        <v/>
      </c>
      <c r="N46" s="8">
        <f>IF(AND(G46&lt;&gt;"",H46&lt;&gt;""),G46-H46,"")</f>
        <v/>
      </c>
      <c r="O46" s="9">
        <f>IF(G46&gt;0,1-L46/G46,"")</f>
        <v/>
      </c>
      <c r="P46" s="10" t="n"/>
      <c r="Q46" t="b">
        <v>1</v>
      </c>
      <c r="R46" t="b">
        <v>0</v>
      </c>
      <c r="S46" t="inlineStr">
        <is>
          <t>-1.1</t>
        </is>
      </c>
    </row>
    <row r="47">
      <c r="A47" t="n">
        <v>46</v>
      </c>
      <c r="B47" t="inlineStr">
        <is>
          <t>54</t>
        </is>
      </c>
      <c r="C47" t="inlineStr">
        <is>
          <t>Tasi</t>
        </is>
      </c>
      <c r="D47" t="inlineStr">
        <is>
          <t>Homemade granola w berries and yoghurt</t>
        </is>
      </c>
      <c r="E47" t="inlineStr">
        <is>
          <t>TABREAK</t>
        </is>
      </c>
      <c r="F47" t="inlineStr">
        <is>
          <t>TABREAK03</t>
        </is>
      </c>
      <c r="G47" s="6" t="n">
        <v>9</v>
      </c>
      <c r="H47" s="6" t="n">
        <v>3.3</v>
      </c>
      <c r="I47" s="7" t="n">
        <v>2.237</v>
      </c>
      <c r="J47" s="7" t="n">
        <v>2.77388</v>
      </c>
      <c r="K47" s="7" t="n">
        <v>0.6711</v>
      </c>
      <c r="L47" s="8">
        <f>SUMIF(Recipe_Components!$A$2:$A$515,A47,Recipe_Components!$F$2:$F$515)</f>
        <v/>
      </c>
      <c r="M47" s="8">
        <f>IF(AND(K47&lt;&gt;"",L47&lt;&gt;""),L47-K47,"")</f>
        <v/>
      </c>
      <c r="N47" s="8">
        <f>IF(AND(G47&lt;&gt;"",H47&lt;&gt;""),G47-H47,"")</f>
        <v/>
      </c>
      <c r="O47" s="9">
        <f>IF(G47&gt;0,1-L47/G47,"")</f>
        <v/>
      </c>
      <c r="P47" s="10" t="n"/>
      <c r="Q47" t="b">
        <v>0</v>
      </c>
      <c r="R47" t="b">
        <v>0</v>
      </c>
      <c r="S47" t="inlineStr">
        <is>
          <t>5.7</t>
        </is>
      </c>
      <c r="T47" t="inlineStr">
        <is>
          <t>0.9075373333</t>
        </is>
      </c>
    </row>
    <row r="48">
      <c r="A48" t="n">
        <v>47</v>
      </c>
      <c r="B48" t="inlineStr">
        <is>
          <t>55</t>
        </is>
      </c>
      <c r="C48" t="inlineStr">
        <is>
          <t>Tasi</t>
        </is>
      </c>
      <c r="D48" t="inlineStr">
        <is>
          <t>seasonal fruit bowl</t>
        </is>
      </c>
      <c r="E48" t="inlineStr">
        <is>
          <t>TABREAK</t>
        </is>
      </c>
      <c r="F48" t="inlineStr">
        <is>
          <t>TABREAK04</t>
        </is>
      </c>
      <c r="G48" s="6" t="n">
        <v>6</v>
      </c>
      <c r="H48" s="6" t="n">
        <v>5.5</v>
      </c>
      <c r="I48" s="7" t="n">
        <v>3.445</v>
      </c>
      <c r="J48" s="7" t="n">
        <v>4.2718</v>
      </c>
      <c r="K48" s="7" t="n">
        <v>1.0335</v>
      </c>
      <c r="L48" s="8">
        <f>SUMIF(Recipe_Components!$A$2:$A$515,A48,Recipe_Components!$F$2:$F$515)</f>
        <v/>
      </c>
      <c r="M48" s="8">
        <f>IF(AND(K48&lt;&gt;"",L48&lt;&gt;""),L48-K48,"")</f>
        <v/>
      </c>
      <c r="N48" s="8">
        <f>IF(AND(G48&lt;&gt;"",H48&lt;&gt;""),G48-H48,"")</f>
        <v/>
      </c>
      <c r="O48" s="9">
        <f>IF(G48&gt;0,1-L48/G48,"")</f>
        <v/>
      </c>
      <c r="P48" s="10" t="n"/>
      <c r="Q48" t="b">
        <v>0</v>
      </c>
      <c r="R48" t="b">
        <v>0</v>
      </c>
      <c r="S48" t="inlineStr">
        <is>
          <t>0.5</t>
        </is>
      </c>
      <c r="T48" t="inlineStr">
        <is>
          <t>0.78641</t>
        </is>
      </c>
    </row>
    <row r="49">
      <c r="A49" t="n">
        <v>48</v>
      </c>
      <c r="B49" t="inlineStr">
        <is>
          <t>56</t>
        </is>
      </c>
      <c r="C49" t="inlineStr">
        <is>
          <t>Tasi</t>
        </is>
      </c>
      <c r="D49" t="inlineStr">
        <is>
          <t>- add yoghurt</t>
        </is>
      </c>
      <c r="E49" t="inlineStr">
        <is>
          <t>TABREAK</t>
        </is>
      </c>
      <c r="F49" t="inlineStr">
        <is>
          <t>TABREAK05</t>
        </is>
      </c>
      <c r="G49" s="6" t="n"/>
      <c r="H49" s="6" t="n">
        <v>2.2</v>
      </c>
      <c r="I49" s="7" t="n">
        <v>0.9966666667</v>
      </c>
      <c r="J49" s="7" t="n">
        <v>1.235866667</v>
      </c>
      <c r="K49" s="7" t="n">
        <v>0.299</v>
      </c>
      <c r="L49" s="8">
        <f>SUMIF(Recipe_Components!$A$2:$A$515,A49,Recipe_Components!$F$2:$F$515)</f>
        <v/>
      </c>
      <c r="M49" s="8">
        <f>IF(AND(K49&lt;&gt;"",L49&lt;&gt;""),L49-K49,"")</f>
        <v/>
      </c>
      <c r="N49" s="8">
        <f>IF(AND(G49&lt;&gt;"",H49&lt;&gt;""),G49-H49,"")</f>
        <v/>
      </c>
      <c r="O49" s="9">
        <f>IF(G49&gt;0,1-L49/G49,"")</f>
        <v/>
      </c>
      <c r="P49" s="10" t="n"/>
      <c r="Q49" t="b">
        <v>0</v>
      </c>
      <c r="R49" t="b">
        <v>0</v>
      </c>
      <c r="S49" t="inlineStr">
        <is>
          <t>-2.2</t>
        </is>
      </c>
    </row>
    <row r="50">
      <c r="A50" t="n">
        <v>49</v>
      </c>
      <c r="B50" t="inlineStr">
        <is>
          <t>57</t>
        </is>
      </c>
      <c r="C50" t="inlineStr">
        <is>
          <t>Tasi</t>
        </is>
      </c>
      <c r="D50" t="inlineStr">
        <is>
          <t>Amercan style pancakes</t>
        </is>
      </c>
      <c r="E50" t="inlineStr">
        <is>
          <t>TABREAK</t>
        </is>
      </c>
      <c r="F50" t="inlineStr">
        <is>
          <t>TABREAK06</t>
        </is>
      </c>
      <c r="G50" s="6" t="n"/>
      <c r="H50" s="6" t="n">
        <v>1.1</v>
      </c>
      <c r="I50" s="7" t="n">
        <v>0.4884809697</v>
      </c>
      <c r="J50" s="7" t="n">
        <v>0.6057164024</v>
      </c>
      <c r="K50" s="7" t="n">
        <v>0.1465442909</v>
      </c>
      <c r="L50" s="8">
        <f>SUMIF(Recipe_Components!$A$2:$A$515,A50,Recipe_Components!$F$2:$F$515)</f>
        <v/>
      </c>
      <c r="M50" s="8">
        <f>IF(AND(K50&lt;&gt;"",L50&lt;&gt;""),L50-K50,"")</f>
        <v/>
      </c>
      <c r="N50" s="8">
        <f>IF(AND(G50&lt;&gt;"",H50&lt;&gt;""),G50-H50,"")</f>
        <v/>
      </c>
      <c r="O50" s="9">
        <f>IF(G50&gt;0,1-L50/G50,"")</f>
        <v/>
      </c>
      <c r="P50" s="10" t="n"/>
      <c r="Q50" t="b">
        <v>0</v>
      </c>
      <c r="R50" t="b">
        <v>0</v>
      </c>
      <c r="S50" t="inlineStr">
        <is>
          <t>-1.1</t>
        </is>
      </c>
    </row>
    <row r="51">
      <c r="A51" t="n">
        <v>50</v>
      </c>
      <c r="B51" t="inlineStr">
        <is>
          <t>58</t>
        </is>
      </c>
      <c r="C51" t="inlineStr">
        <is>
          <t>Tasi</t>
        </is>
      </c>
      <c r="D51" t="inlineStr">
        <is>
          <t>- with banana and berries</t>
        </is>
      </c>
      <c r="E51" t="inlineStr">
        <is>
          <t>TABREAK</t>
        </is>
      </c>
      <c r="F51" t="inlineStr">
        <is>
          <t>TABREAK07</t>
        </is>
      </c>
      <c r="G51" s="6" t="n">
        <v>14</v>
      </c>
      <c r="H51" s="6" t="n">
        <v>3.3</v>
      </c>
      <c r="I51" s="7" t="n">
        <v>1.830147636</v>
      </c>
      <c r="J51" s="7" t="n">
        <v>2.269383069</v>
      </c>
      <c r="K51" s="7" t="n">
        <v>0.5490442909</v>
      </c>
      <c r="L51" s="8">
        <f>SUMIF(Recipe_Components!$A$2:$A$515,A51,Recipe_Components!$F$2:$F$515)</f>
        <v/>
      </c>
      <c r="M51" s="8">
        <f>IF(AND(K51&lt;&gt;"",L51&lt;&gt;""),L51-K51,"")</f>
        <v/>
      </c>
      <c r="N51" s="8">
        <f>IF(AND(G51&lt;&gt;"",H51&lt;&gt;""),G51-H51,"")</f>
        <v/>
      </c>
      <c r="O51" s="9">
        <f>IF(G51&gt;0,1-L51/G51,"")</f>
        <v/>
      </c>
      <c r="P51" s="10" t="n"/>
      <c r="Q51" t="b">
        <v>0</v>
      </c>
      <c r="R51" t="b">
        <v>0</v>
      </c>
      <c r="S51" t="inlineStr">
        <is>
          <t>10.7</t>
        </is>
      </c>
      <c r="T51" t="inlineStr">
        <is>
          <t>0.9513703628</t>
        </is>
      </c>
    </row>
    <row r="52">
      <c r="A52" t="n">
        <v>51</v>
      </c>
      <c r="B52" t="inlineStr">
        <is>
          <t>59</t>
        </is>
      </c>
      <c r="C52" t="inlineStr">
        <is>
          <t>Tasi</t>
        </is>
      </c>
      <c r="D52" t="inlineStr">
        <is>
          <t>- with Bacon and maple syrup</t>
        </is>
      </c>
      <c r="E52" t="inlineStr">
        <is>
          <t>TABREAK</t>
        </is>
      </c>
      <c r="F52" t="inlineStr">
        <is>
          <t>TABREAK08</t>
        </is>
      </c>
      <c r="G52" s="6" t="n">
        <v>14</v>
      </c>
      <c r="H52" s="6" t="n">
        <v>6.6</v>
      </c>
      <c r="I52" s="7" t="n">
        <v>4.50848097</v>
      </c>
      <c r="J52" s="7" t="n">
        <v>5.590516402</v>
      </c>
      <c r="K52" s="7" t="n">
        <v>1.352544291</v>
      </c>
      <c r="L52" s="8">
        <f>SUMIF(Recipe_Components!$A$2:$A$515,A52,Recipe_Components!$F$2:$F$515)</f>
        <v/>
      </c>
      <c r="M52" s="8">
        <f>IF(AND(K52&lt;&gt;"",L52&lt;&gt;""),L52-K52,"")</f>
        <v/>
      </c>
      <c r="N52" s="8">
        <f>IF(AND(G52&lt;&gt;"",H52&lt;&gt;""),G52-H52,"")</f>
        <v/>
      </c>
      <c r="O52" s="9">
        <f>IF(G52&gt;0,1-L52/G52,"")</f>
        <v/>
      </c>
      <c r="P52" s="10" t="n"/>
      <c r="Q52" t="b">
        <v>0</v>
      </c>
      <c r="R52" t="b">
        <v>0</v>
      </c>
      <c r="S52" t="inlineStr">
        <is>
          <t>7.4</t>
        </is>
      </c>
      <c r="T52" t="inlineStr">
        <is>
          <t>0.8802032199</t>
        </is>
      </c>
    </row>
    <row r="53">
      <c r="A53" t="n">
        <v>52</v>
      </c>
      <c r="B53" t="inlineStr">
        <is>
          <t>60</t>
        </is>
      </c>
      <c r="C53" t="inlineStr">
        <is>
          <t>Tasi</t>
        </is>
      </c>
      <c r="D53" t="inlineStr">
        <is>
          <t>Avocado on toast with poached eggs, feta and olive oil</t>
        </is>
      </c>
      <c r="E53" t="inlineStr">
        <is>
          <t>TABREAK</t>
        </is>
      </c>
      <c r="F53" t="inlineStr">
        <is>
          <t>TABREAK09</t>
        </is>
      </c>
      <c r="G53" s="6" t="n">
        <v>14</v>
      </c>
      <c r="H53" s="6" t="n">
        <v>6.6</v>
      </c>
      <c r="I53" s="7" t="n">
        <v>4.734666667</v>
      </c>
      <c r="J53" s="7" t="n">
        <v>5.870986667</v>
      </c>
      <c r="K53" s="7" t="n">
        <v>1.4204</v>
      </c>
      <c r="L53" s="8">
        <f>SUMIF(Recipe_Components!$A$2:$A$515,A53,Recipe_Components!$F$2:$F$515)</f>
        <v/>
      </c>
      <c r="M53" s="8">
        <f>IF(AND(K53&lt;&gt;"",L53&lt;&gt;""),L53-K53,"")</f>
        <v/>
      </c>
      <c r="N53" s="8">
        <f>IF(AND(G53&lt;&gt;"",H53&lt;&gt;""),G53-H53,"")</f>
        <v/>
      </c>
      <c r="O53" s="9">
        <f>IF(G53&gt;0,1-L53/G53,"")</f>
        <v/>
      </c>
      <c r="P53" s="10" t="n"/>
      <c r="Q53" t="b">
        <v>0</v>
      </c>
      <c r="R53" t="b">
        <v>0</v>
      </c>
      <c r="S53" t="inlineStr">
        <is>
          <t>7.4</t>
        </is>
      </c>
      <c r="T53" t="inlineStr">
        <is>
          <t>0.8741931429</t>
        </is>
      </c>
    </row>
    <row r="54">
      <c r="A54" t="n">
        <v>53</v>
      </c>
      <c r="B54" t="inlineStr">
        <is>
          <t>61</t>
        </is>
      </c>
      <c r="C54" t="inlineStr">
        <is>
          <t>Tasi</t>
        </is>
      </c>
      <c r="D54" t="inlineStr">
        <is>
          <t>Eggs benedict</t>
        </is>
      </c>
      <c r="E54" t="inlineStr">
        <is>
          <t>TABREAK</t>
        </is>
      </c>
      <c r="F54" t="inlineStr">
        <is>
          <t>TABREAK10</t>
        </is>
      </c>
      <c r="G54" s="6" t="n">
        <v>15</v>
      </c>
      <c r="H54" s="6" t="n">
        <v>4.4</v>
      </c>
      <c r="I54" s="7" t="n">
        <v>2.672783333</v>
      </c>
      <c r="J54" s="7" t="n">
        <v>3.314251333</v>
      </c>
      <c r="K54" s="7" t="n">
        <v>0.801835</v>
      </c>
      <c r="L54" s="8">
        <f>SUMIF(Recipe_Components!$A$2:$A$515,A54,Recipe_Components!$F$2:$F$515)</f>
        <v/>
      </c>
      <c r="M54" s="8">
        <f>IF(AND(K54&lt;&gt;"",L54&lt;&gt;""),L54-K54,"")</f>
        <v/>
      </c>
      <c r="N54" s="8">
        <f>IF(AND(G54&lt;&gt;"",H54&lt;&gt;""),G54-H54,"")</f>
        <v/>
      </c>
      <c r="O54" s="9">
        <f>IF(G54&gt;0,1-L54/G54,"")</f>
        <v/>
      </c>
      <c r="P54" s="10" t="n"/>
      <c r="Q54" t="b">
        <v>0</v>
      </c>
      <c r="R54" t="b">
        <v>0</v>
      </c>
      <c r="S54" t="inlineStr">
        <is>
          <t>10.6</t>
        </is>
      </c>
      <c r="T54" t="inlineStr">
        <is>
          <t>0.9337149733</t>
        </is>
      </c>
    </row>
    <row r="55">
      <c r="A55" t="n">
        <v>54</v>
      </c>
      <c r="B55" t="inlineStr">
        <is>
          <t>62</t>
        </is>
      </c>
      <c r="C55" t="inlineStr">
        <is>
          <t>Tasi</t>
        </is>
      </c>
      <c r="D55" t="inlineStr">
        <is>
          <t>Eggs royal w salmon</t>
        </is>
      </c>
      <c r="E55" t="inlineStr">
        <is>
          <t>TABREAK</t>
        </is>
      </c>
      <c r="F55" t="inlineStr"/>
      <c r="G55" s="6" t="n">
        <v>16</v>
      </c>
      <c r="H55" s="6" t="n">
        <v>11</v>
      </c>
      <c r="I55" s="7" t="n">
        <v>7.336116667</v>
      </c>
      <c r="J55" s="7" t="n">
        <v>9.096784667</v>
      </c>
      <c r="K55" s="7" t="n">
        <v>2.200835</v>
      </c>
      <c r="L55" s="8">
        <f>SUMIF(Recipe_Components!$A$2:$A$515,A55,Recipe_Components!$F$2:$F$515)</f>
        <v/>
      </c>
      <c r="M55" s="8">
        <f>IF(AND(K55&lt;&gt;"",L55&lt;&gt;""),L55-K55,"")</f>
        <v/>
      </c>
      <c r="N55" s="8">
        <f>IF(AND(G55&lt;&gt;"",H55&lt;&gt;""),G55-H55,"")</f>
        <v/>
      </c>
      <c r="O55" s="9">
        <f>IF(G55&gt;0,1-L55/G55,"")</f>
        <v/>
      </c>
      <c r="P55" s="10" t="n"/>
      <c r="Q55" t="b">
        <v>0</v>
      </c>
      <c r="R55" t="b">
        <v>0</v>
      </c>
      <c r="S55" t="inlineStr">
        <is>
          <t>5</t>
        </is>
      </c>
      <c r="T55" t="inlineStr">
        <is>
          <t>0.8294352875</t>
        </is>
      </c>
    </row>
    <row r="56">
      <c r="A56" t="n">
        <v>55</v>
      </c>
      <c r="B56" t="inlineStr">
        <is>
          <t>63</t>
        </is>
      </c>
      <c r="C56" t="inlineStr">
        <is>
          <t>Tasi</t>
        </is>
      </c>
      <c r="D56" t="inlineStr">
        <is>
          <t>Eggs florentine w spinach</t>
        </is>
      </c>
      <c r="E56" t="inlineStr">
        <is>
          <t>TABREAK</t>
        </is>
      </c>
      <c r="F56" t="inlineStr">
        <is>
          <t>TABREAK12</t>
        </is>
      </c>
      <c r="G56" s="6" t="n">
        <v>14</v>
      </c>
      <c r="H56" s="6" t="n">
        <v>4.4</v>
      </c>
      <c r="I56" s="7" t="n">
        <v>2.525783333</v>
      </c>
      <c r="J56" s="7" t="n">
        <v>3.131971333</v>
      </c>
      <c r="K56" s="7" t="n">
        <v>0.757735</v>
      </c>
      <c r="L56" s="8">
        <f>SUMIF(Recipe_Components!$A$2:$A$515,A56,Recipe_Components!$F$2:$F$515)</f>
        <v/>
      </c>
      <c r="M56" s="8">
        <f>IF(AND(K56&lt;&gt;"",L56&lt;&gt;""),L56-K56,"")</f>
        <v/>
      </c>
      <c r="N56" s="8">
        <f>IF(AND(G56&lt;&gt;"",H56&lt;&gt;""),G56-H56,"")</f>
        <v/>
      </c>
      <c r="O56" s="9">
        <f>IF(G56&gt;0,1-L56/G56,"")</f>
        <v/>
      </c>
      <c r="P56" s="10" t="n"/>
      <c r="Q56" t="b">
        <v>0</v>
      </c>
      <c r="R56" t="b">
        <v>0</v>
      </c>
      <c r="S56" t="inlineStr">
        <is>
          <t>9.6</t>
        </is>
      </c>
      <c r="T56" t="inlineStr">
        <is>
          <t>0.9328863286</t>
        </is>
      </c>
    </row>
    <row r="57">
      <c r="A57" t="n">
        <v>56</v>
      </c>
      <c r="B57" t="inlineStr">
        <is>
          <t>64</t>
        </is>
      </c>
      <c r="C57" t="inlineStr">
        <is>
          <t>Tasi</t>
        </is>
      </c>
      <c r="D57" t="inlineStr">
        <is>
          <t>Mushrooms on toast, with fried eggs</t>
        </is>
      </c>
      <c r="E57" t="inlineStr">
        <is>
          <t>TABREAK</t>
        </is>
      </c>
      <c r="F57" t="inlineStr">
        <is>
          <t>TABREAK13</t>
        </is>
      </c>
      <c r="G57" s="6" t="n">
        <v>14</v>
      </c>
      <c r="H57" s="6" t="n">
        <v>6.6</v>
      </c>
      <c r="I57" s="7" t="n">
        <v>4.631833333</v>
      </c>
      <c r="J57" s="7" t="n">
        <v>5.743473333</v>
      </c>
      <c r="K57" s="7" t="n">
        <v>1.38955</v>
      </c>
      <c r="L57" s="8">
        <f>SUMIF(Recipe_Components!$A$2:$A$515,A57,Recipe_Components!$F$2:$F$515)</f>
        <v/>
      </c>
      <c r="M57" s="8">
        <f>IF(AND(K57&lt;&gt;"",L57&lt;&gt;""),L57-K57,"")</f>
        <v/>
      </c>
      <c r="N57" s="8">
        <f>IF(AND(G57&lt;&gt;"",H57&lt;&gt;""),G57-H57,"")</f>
        <v/>
      </c>
      <c r="O57" s="9">
        <f>IF(G57&gt;0,1-L57/G57,"")</f>
        <v/>
      </c>
      <c r="P57" s="10" t="n"/>
      <c r="Q57" t="b">
        <v>0</v>
      </c>
      <c r="R57" t="b">
        <v>0</v>
      </c>
      <c r="S57" t="inlineStr">
        <is>
          <t>7.4</t>
        </is>
      </c>
      <c r="T57" t="inlineStr">
        <is>
          <t>0.8769255714</t>
        </is>
      </c>
    </row>
    <row r="58">
      <c r="A58" t="n">
        <v>57</v>
      </c>
      <c r="B58" t="inlineStr">
        <is>
          <t>65</t>
        </is>
      </c>
      <c r="C58" t="inlineStr">
        <is>
          <t>Tasi</t>
        </is>
      </c>
      <c r="D58" t="inlineStr">
        <is>
          <t>One pan veggie breakfast</t>
        </is>
      </c>
      <c r="E58" t="inlineStr">
        <is>
          <t>TABREAK</t>
        </is>
      </c>
      <c r="F58" t="inlineStr">
        <is>
          <t>TABREAK14</t>
        </is>
      </c>
      <c r="G58" s="6" t="n">
        <v>17</v>
      </c>
      <c r="H58" s="6" t="n">
        <v>7.7</v>
      </c>
      <c r="I58" s="7" t="n">
        <v>5.099318</v>
      </c>
      <c r="J58" s="7" t="n">
        <v>6.32315432</v>
      </c>
      <c r="K58" s="7" t="n">
        <v>1.5297954</v>
      </c>
      <c r="L58" s="8">
        <f>SUMIF(Recipe_Components!$A$2:$A$515,A58,Recipe_Components!$F$2:$F$515)</f>
        <v/>
      </c>
      <c r="M58" s="8">
        <f>IF(AND(K58&lt;&gt;"",L58&lt;&gt;""),L58-K58,"")</f>
        <v/>
      </c>
      <c r="N58" s="8">
        <f>IF(AND(G58&lt;&gt;"",H58&lt;&gt;""),G58-H58,"")</f>
        <v/>
      </c>
      <c r="O58" s="9">
        <f>IF(G58&gt;0,1-L58/G58,"")</f>
        <v/>
      </c>
      <c r="P58" s="10" t="n"/>
      <c r="Q58" t="b">
        <v>0</v>
      </c>
      <c r="R58" t="b">
        <v>0</v>
      </c>
      <c r="S58" t="inlineStr">
        <is>
          <t>9.3</t>
        </is>
      </c>
      <c r="T58" t="inlineStr">
        <is>
          <t>0.8884149238</t>
        </is>
      </c>
    </row>
    <row r="59">
      <c r="A59" t="n">
        <v>58</v>
      </c>
      <c r="B59" t="inlineStr">
        <is>
          <t>66</t>
        </is>
      </c>
      <c r="C59" t="inlineStr">
        <is>
          <t>Tasi</t>
        </is>
      </c>
      <c r="D59" t="inlineStr">
        <is>
          <t>Eggs on toast</t>
        </is>
      </c>
      <c r="E59" t="inlineStr">
        <is>
          <t>TABREAK</t>
        </is>
      </c>
      <c r="F59" t="inlineStr">
        <is>
          <t>TABREAK15</t>
        </is>
      </c>
      <c r="G59" s="6" t="n">
        <v>12</v>
      </c>
      <c r="H59" s="6" t="n">
        <v>2.2</v>
      </c>
      <c r="I59" s="7" t="n">
        <v>1.235</v>
      </c>
      <c r="J59" s="7" t="n">
        <v>1.5314</v>
      </c>
      <c r="K59" s="7" t="n">
        <v>0.3705</v>
      </c>
      <c r="L59" s="8">
        <f>SUMIF(Recipe_Components!$A$2:$A$515,A59,Recipe_Components!$F$2:$F$515)</f>
        <v/>
      </c>
      <c r="M59" s="8">
        <f>IF(AND(K59&lt;&gt;"",L59&lt;&gt;""),L59-K59,"")</f>
        <v/>
      </c>
      <c r="N59" s="8">
        <f>IF(AND(G59&lt;&gt;"",H59&lt;&gt;""),G59-H59,"")</f>
        <v/>
      </c>
      <c r="O59" s="9">
        <f>IF(G59&gt;0,1-L59/G59,"")</f>
        <v/>
      </c>
      <c r="P59" s="10" t="n"/>
      <c r="Q59" t="b">
        <v>0</v>
      </c>
      <c r="R59" t="b">
        <v>0</v>
      </c>
      <c r="S59" t="inlineStr">
        <is>
          <t>9.8</t>
        </is>
      </c>
      <c r="T59" t="inlineStr">
        <is>
          <t>0.961715</t>
        </is>
      </c>
    </row>
    <row r="60">
      <c r="A60" t="n">
        <v>59</v>
      </c>
      <c r="B60" t="inlineStr">
        <is>
          <t>67</t>
        </is>
      </c>
      <c r="C60" t="inlineStr">
        <is>
          <t>Tasi</t>
        </is>
      </c>
      <c r="D60" t="inlineStr">
        <is>
          <t>Breakfast bap</t>
        </is>
      </c>
      <c r="E60" t="inlineStr">
        <is>
          <t>TABREAK</t>
        </is>
      </c>
      <c r="F60" t="inlineStr">
        <is>
          <t>TABREAK16</t>
        </is>
      </c>
      <c r="G60" s="6" t="n">
        <v>15</v>
      </c>
      <c r="H60" s="6" t="n">
        <v>4.4</v>
      </c>
      <c r="I60" s="7" t="n">
        <v>2.949547333</v>
      </c>
      <c r="J60" s="7" t="n">
        <v>3.657438693</v>
      </c>
      <c r="K60" s="7" t="n">
        <v>0.8848642</v>
      </c>
      <c r="L60" s="8">
        <f>SUMIF(Recipe_Components!$A$2:$A$515,A60,Recipe_Components!$F$2:$F$515)</f>
        <v/>
      </c>
      <c r="M60" s="8">
        <f>IF(AND(K60&lt;&gt;"",L60&lt;&gt;""),L60-K60,"")</f>
        <v/>
      </c>
      <c r="N60" s="8">
        <f>IF(AND(G60&lt;&gt;"",H60&lt;&gt;""),G60-H60,"")</f>
        <v/>
      </c>
      <c r="O60" s="9">
        <f>IF(G60&gt;0,1-L60/G60,"")</f>
        <v/>
      </c>
      <c r="P60" s="10" t="n"/>
      <c r="Q60" t="b">
        <v>0</v>
      </c>
      <c r="R60" t="b">
        <v>0</v>
      </c>
      <c r="S60" t="inlineStr">
        <is>
          <t>10.6</t>
        </is>
      </c>
      <c r="T60" t="inlineStr">
        <is>
          <t>0.9268512261</t>
        </is>
      </c>
    </row>
    <row r="61">
      <c r="A61" t="n">
        <v>60</v>
      </c>
      <c r="B61" t="inlineStr">
        <is>
          <t>68</t>
        </is>
      </c>
      <c r="C61" t="inlineStr">
        <is>
          <t>Tasi</t>
        </is>
      </c>
      <c r="D61" t="inlineStr">
        <is>
          <t>French omelete</t>
        </is>
      </c>
      <c r="E61" t="inlineStr">
        <is>
          <t>TABREAK</t>
        </is>
      </c>
      <c r="F61" t="inlineStr">
        <is>
          <t>TABREAK17</t>
        </is>
      </c>
      <c r="G61" s="6" t="n">
        <v>16</v>
      </c>
      <c r="H61" s="6" t="n">
        <v>3.3</v>
      </c>
      <c r="I61" s="7" t="n">
        <v>2.154633333</v>
      </c>
      <c r="J61" s="7" t="n">
        <v>2.671745333</v>
      </c>
      <c r="K61" s="7" t="n">
        <v>0.64639</v>
      </c>
      <c r="L61" s="8">
        <f>SUMIF(Recipe_Components!$A$2:$A$515,A61,Recipe_Components!$F$2:$F$515)</f>
        <v/>
      </c>
      <c r="M61" s="8">
        <f>IF(AND(K61&lt;&gt;"",L61&lt;&gt;""),L61-K61,"")</f>
        <v/>
      </c>
      <c r="N61" s="8">
        <f>IF(AND(G61&lt;&gt;"",H61&lt;&gt;""),G61-H61,"")</f>
        <v/>
      </c>
      <c r="O61" s="9">
        <f>IF(G61&gt;0,1-L61/G61,"")</f>
        <v/>
      </c>
      <c r="P61" s="10" t="n"/>
      <c r="Q61" t="b">
        <v>0</v>
      </c>
      <c r="R61" t="b">
        <v>0</v>
      </c>
      <c r="S61" t="inlineStr">
        <is>
          <t>12.7</t>
        </is>
      </c>
      <c r="T61" t="inlineStr">
        <is>
          <t>0.949904775</t>
        </is>
      </c>
    </row>
    <row r="62">
      <c r="A62" t="n">
        <v>61</v>
      </c>
      <c r="B62" t="inlineStr">
        <is>
          <t>70</t>
        </is>
      </c>
      <c r="C62" t="inlineStr">
        <is>
          <t>Tasi</t>
        </is>
      </c>
      <c r="D62" t="inlineStr">
        <is>
          <t>Greek yohurt and honey</t>
        </is>
      </c>
      <c r="E62" t="inlineStr">
        <is>
          <t>TADESSERT</t>
        </is>
      </c>
      <c r="F62" t="inlineStr">
        <is>
          <t>TADESSERT01</t>
        </is>
      </c>
      <c r="G62" s="6" t="n">
        <v>6</v>
      </c>
      <c r="H62" s="6" t="n">
        <v>4.4</v>
      </c>
      <c r="I62" s="7" t="n">
        <v>2.53</v>
      </c>
      <c r="J62" s="7" t="n">
        <v>3.1372</v>
      </c>
      <c r="K62" s="7" t="n">
        <v>0.759</v>
      </c>
      <c r="L62" s="8">
        <f>SUMIF(Recipe_Components!$A$2:$A$515,A62,Recipe_Components!$F$2:$F$515)</f>
        <v/>
      </c>
      <c r="M62" s="8">
        <f>IF(AND(K62&lt;&gt;"",L62&lt;&gt;""),L62-K62,"")</f>
        <v/>
      </c>
      <c r="N62" s="8">
        <f>IF(AND(G62&lt;&gt;"",H62&lt;&gt;""),G62-H62,"")</f>
        <v/>
      </c>
      <c r="O62" s="9">
        <f>IF(G62&gt;0,1-L62/G62,"")</f>
        <v/>
      </c>
      <c r="P62" s="10" t="n"/>
      <c r="Q62" t="b">
        <v>0</v>
      </c>
      <c r="R62" t="b">
        <v>0</v>
      </c>
      <c r="S62" t="inlineStr">
        <is>
          <t>1.6</t>
        </is>
      </c>
      <c r="T62" t="inlineStr">
        <is>
          <t>0.84314</t>
        </is>
      </c>
    </row>
    <row r="63">
      <c r="A63" t="n">
        <v>62</v>
      </c>
      <c r="B63" t="inlineStr">
        <is>
          <t>71</t>
        </is>
      </c>
      <c r="C63" t="inlineStr">
        <is>
          <t>Tasi</t>
        </is>
      </c>
      <c r="D63" t="inlineStr">
        <is>
          <t>Lemon Posset</t>
        </is>
      </c>
      <c r="E63" t="inlineStr">
        <is>
          <t>TADESSERT</t>
        </is>
      </c>
      <c r="F63" t="inlineStr">
        <is>
          <t>TADESSERT02</t>
        </is>
      </c>
      <c r="G63" s="6" t="n">
        <v>7</v>
      </c>
      <c r="H63" s="6" t="n">
        <v>3.3</v>
      </c>
      <c r="I63" s="7" t="n">
        <v>2.401458333</v>
      </c>
      <c r="J63" s="7" t="n">
        <v>2.977808333</v>
      </c>
      <c r="K63" s="7" t="n">
        <v>0.7204375</v>
      </c>
      <c r="L63" s="8">
        <f>SUMIF(Recipe_Components!$A$2:$A$515,A63,Recipe_Components!$F$2:$F$515)</f>
        <v/>
      </c>
      <c r="M63" s="8">
        <f>IF(AND(K63&lt;&gt;"",L63&lt;&gt;""),L63-K63,"")</f>
        <v/>
      </c>
      <c r="N63" s="8">
        <f>IF(AND(G63&lt;&gt;"",H63&lt;&gt;""),G63-H63,"")</f>
        <v/>
      </c>
      <c r="O63" s="9">
        <f>IF(G63&gt;0,1-L63/G63,"")</f>
        <v/>
      </c>
      <c r="P63" s="10" t="n"/>
      <c r="Q63" t="b">
        <v>0</v>
      </c>
      <c r="R63" t="b">
        <v>0</v>
      </c>
      <c r="S63" t="inlineStr">
        <is>
          <t>3.7</t>
        </is>
      </c>
      <c r="T63" t="inlineStr">
        <is>
          <t>0.8723796429</t>
        </is>
      </c>
    </row>
    <row r="64">
      <c r="A64" t="n">
        <v>63</v>
      </c>
      <c r="B64" t="inlineStr">
        <is>
          <t>72</t>
        </is>
      </c>
      <c r="C64" t="inlineStr">
        <is>
          <t>Tasi</t>
        </is>
      </c>
      <c r="D64" t="inlineStr">
        <is>
          <t>Tiramasu</t>
        </is>
      </c>
      <c r="E64" t="inlineStr">
        <is>
          <t>TADESSERT</t>
        </is>
      </c>
      <c r="F64" t="inlineStr">
        <is>
          <t>TADESSERT03</t>
        </is>
      </c>
      <c r="G64" s="6" t="n">
        <v>8.5</v>
      </c>
      <c r="H64" s="6" t="n">
        <v>7.7</v>
      </c>
      <c r="I64" s="7" t="n">
        <v>5.050504436</v>
      </c>
      <c r="J64" s="7" t="n">
        <v>6.262625501</v>
      </c>
      <c r="K64" s="7" t="n">
        <v>1.515151331</v>
      </c>
      <c r="L64" s="8">
        <f>SUMIF(Recipe_Components!$A$2:$A$515,A64,Recipe_Components!$F$2:$F$515)</f>
        <v/>
      </c>
      <c r="M64" s="8">
        <f>IF(AND(K64&lt;&gt;"",L64&lt;&gt;""),L64-K64,"")</f>
        <v/>
      </c>
      <c r="N64" s="8">
        <f>IF(AND(G64&lt;&gt;"",H64&lt;&gt;""),G64-H64,"")</f>
        <v/>
      </c>
      <c r="O64" s="9">
        <f>IF(G64&gt;0,1-L64/G64,"")</f>
        <v/>
      </c>
      <c r="P64" s="10" t="n"/>
      <c r="Q64" t="b">
        <v>0</v>
      </c>
      <c r="R64" t="b">
        <v>0</v>
      </c>
      <c r="S64" t="inlineStr">
        <is>
          <t>0.8</t>
        </is>
      </c>
      <c r="T64" t="inlineStr">
        <is>
          <t>0.7789661588</t>
        </is>
      </c>
    </row>
    <row r="65">
      <c r="A65" t="n">
        <v>64</v>
      </c>
      <c r="B65" t="inlineStr">
        <is>
          <t>73</t>
        </is>
      </c>
      <c r="C65" t="inlineStr">
        <is>
          <t>Tasi</t>
        </is>
      </c>
      <c r="D65" t="inlineStr">
        <is>
          <t>Chocolate brownie</t>
        </is>
      </c>
      <c r="E65" t="inlineStr">
        <is>
          <t>TADESSERT</t>
        </is>
      </c>
      <c r="F65" t="inlineStr">
        <is>
          <t>TADESSERT04</t>
        </is>
      </c>
      <c r="G65" s="6" t="n">
        <v>8</v>
      </c>
      <c r="H65" s="6" t="n">
        <v>5.5</v>
      </c>
      <c r="I65" s="7" t="n">
        <v>3.900138889</v>
      </c>
      <c r="J65" s="7" t="n">
        <v>4.836172222</v>
      </c>
      <c r="K65" s="7" t="n">
        <v>1.170041667</v>
      </c>
      <c r="L65" s="8">
        <f>SUMIF(Recipe_Components!$A$2:$A$515,A65,Recipe_Components!$F$2:$F$515)</f>
        <v/>
      </c>
      <c r="M65" s="8">
        <f>IF(AND(K65&lt;&gt;"",L65&lt;&gt;""),L65-K65,"")</f>
        <v/>
      </c>
      <c r="N65" s="8">
        <f>IF(AND(G65&lt;&gt;"",H65&lt;&gt;""),G65-H65,"")</f>
        <v/>
      </c>
      <c r="O65" s="9">
        <f>IF(G65&gt;0,1-L65/G65,"")</f>
        <v/>
      </c>
      <c r="P65" s="10" t="n"/>
      <c r="Q65" t="b">
        <v>0</v>
      </c>
      <c r="R65" t="b">
        <v>0</v>
      </c>
      <c r="S65" t="inlineStr">
        <is>
          <t>2.5</t>
        </is>
      </c>
      <c r="T65" t="inlineStr">
        <is>
          <t>0.8186435417</t>
        </is>
      </c>
    </row>
    <row r="66">
      <c r="A66" t="n">
        <v>65</v>
      </c>
      <c r="B66" t="inlineStr">
        <is>
          <t>74</t>
        </is>
      </c>
      <c r="C66" t="inlineStr">
        <is>
          <t>Tasi</t>
        </is>
      </c>
      <c r="D66" t="inlineStr">
        <is>
          <t>Afogato</t>
        </is>
      </c>
      <c r="E66" t="inlineStr">
        <is>
          <t>TADESSERT</t>
        </is>
      </c>
      <c r="F66" t="inlineStr">
        <is>
          <t>TADESSERT05</t>
        </is>
      </c>
      <c r="G66" s="6" t="n"/>
      <c r="H66" s="6" t="n">
        <v>0</v>
      </c>
      <c r="I66" s="7" t="n">
        <v>0</v>
      </c>
      <c r="J66" s="7" t="n">
        <v>0</v>
      </c>
      <c r="K66" s="7" t="n">
        <v>0</v>
      </c>
      <c r="L66" s="8">
        <f>SUMIF(Recipe_Components!$A$2:$A$515,A66,Recipe_Components!$F$2:$F$515)</f>
        <v/>
      </c>
      <c r="M66" s="8">
        <f>IF(AND(K66&lt;&gt;"",L66&lt;&gt;""),L66-K66,"")</f>
        <v/>
      </c>
      <c r="N66" s="8">
        <f>IF(AND(G66&lt;&gt;"",H66&lt;&gt;""),G66-H66,"")</f>
        <v/>
      </c>
      <c r="O66" s="9">
        <f>IF(G66&gt;0,1-L66/G66,"")</f>
        <v/>
      </c>
      <c r="P66" s="10" t="n"/>
      <c r="Q66" t="b">
        <v>0</v>
      </c>
      <c r="R66" t="b">
        <v>0</v>
      </c>
      <c r="S66" t="inlineStr"/>
    </row>
    <row r="67">
      <c r="A67" t="n">
        <v>66</v>
      </c>
      <c r="B67" t="inlineStr">
        <is>
          <t>75</t>
        </is>
      </c>
      <c r="C67" t="inlineStr">
        <is>
          <t>Tasi</t>
        </is>
      </c>
      <c r="D67" t="inlineStr">
        <is>
          <t>Ice cream scoop</t>
        </is>
      </c>
      <c r="E67" t="inlineStr"/>
      <c r="F67" t="inlineStr"/>
      <c r="G67" s="6" t="n"/>
      <c r="H67" s="6" t="n">
        <v>0</v>
      </c>
      <c r="I67" s="7" t="n">
        <v>0</v>
      </c>
      <c r="J67" s="7" t="n">
        <v>0</v>
      </c>
      <c r="K67" s="7" t="n">
        <v>0</v>
      </c>
      <c r="L67" s="8">
        <f>SUMIF(Recipe_Components!$A$2:$A$515,A67,Recipe_Components!$F$2:$F$515)</f>
        <v/>
      </c>
      <c r="M67" s="8">
        <f>IF(AND(K67&lt;&gt;"",L67&lt;&gt;""),L67-K67,"")</f>
        <v/>
      </c>
      <c r="N67" s="8">
        <f>IF(AND(G67&lt;&gt;"",H67&lt;&gt;""),G67-H67,"")</f>
        <v/>
      </c>
      <c r="O67" s="9">
        <f>IF(G67&gt;0,1-L67/G67,"")</f>
        <v/>
      </c>
      <c r="P67" s="10" t="n"/>
      <c r="Q67" t="b">
        <v>0</v>
      </c>
      <c r="R67" t="b">
        <v>0</v>
      </c>
      <c r="S67" t="inlineStr"/>
    </row>
    <row r="68">
      <c r="A68" t="n">
        <v>67</v>
      </c>
      <c r="B68" t="inlineStr">
        <is>
          <t>77</t>
        </is>
      </c>
      <c r="C68" t="inlineStr">
        <is>
          <t>Terraces</t>
        </is>
      </c>
      <c r="D68" t="inlineStr">
        <is>
          <t>Grilled Pita</t>
        </is>
      </c>
      <c r="E68" t="inlineStr"/>
      <c r="F68" t="inlineStr"/>
      <c r="G68" s="6" t="n">
        <v>4</v>
      </c>
      <c r="H68" s="6" t="n">
        <v>1.1</v>
      </c>
      <c r="I68" s="7" t="n">
        <v>0.202532</v>
      </c>
      <c r="J68" s="7" t="n">
        <v>0.25113968</v>
      </c>
      <c r="K68" s="7" t="n">
        <v>0.0607596</v>
      </c>
      <c r="L68" s="8">
        <f>SUMIF(Recipe_Components!$A$2:$A$515,A68,Recipe_Components!$F$2:$F$515)</f>
        <v/>
      </c>
      <c r="M68" s="8">
        <f>IF(AND(K68&lt;&gt;"",L68&lt;&gt;""),L68-K68,"")</f>
        <v/>
      </c>
      <c r="N68" s="8">
        <f>IF(AND(G68&lt;&gt;"",H68&lt;&gt;""),G68-H68,"")</f>
        <v/>
      </c>
      <c r="O68" s="9">
        <f>IF(G68&gt;0,1-L68/G68,"")</f>
        <v/>
      </c>
      <c r="P68" s="10" t="n"/>
      <c r="S68" t="inlineStr">
        <is>
          <t>2.9</t>
        </is>
      </c>
      <c r="T68" t="inlineStr">
        <is>
          <t>0.981164524</t>
        </is>
      </c>
    </row>
    <row r="69">
      <c r="A69" t="n">
        <v>68</v>
      </c>
      <c r="B69" t="inlineStr">
        <is>
          <t>78</t>
        </is>
      </c>
      <c r="C69" t="inlineStr">
        <is>
          <t>Terraces</t>
        </is>
      </c>
      <c r="D69" t="inlineStr">
        <is>
          <t>Muhammara</t>
        </is>
      </c>
      <c r="E69" t="inlineStr">
        <is>
          <t>TERDIP</t>
        </is>
      </c>
      <c r="F69" t="inlineStr">
        <is>
          <t>TERDIP01</t>
        </is>
      </c>
      <c r="G69" s="6" t="n">
        <v>7</v>
      </c>
      <c r="H69" s="6" t="n">
        <v>5.5</v>
      </c>
      <c r="I69" s="7" t="n">
        <v>4.028615333</v>
      </c>
      <c r="J69" s="7" t="n">
        <v>4.995483013</v>
      </c>
      <c r="K69" s="7" t="n">
        <v>1.2085846</v>
      </c>
      <c r="L69" s="8">
        <f>SUMIF(Recipe_Components!$A$2:$A$515,A69,Recipe_Components!$F$2:$F$515)</f>
        <v/>
      </c>
      <c r="M69" s="8">
        <f>IF(AND(K69&lt;&gt;"",L69&lt;&gt;""),L69-K69,"")</f>
        <v/>
      </c>
      <c r="N69" s="8">
        <f>IF(AND(G69&lt;&gt;"",H69&lt;&gt;""),G69-H69,"")</f>
        <v/>
      </c>
      <c r="O69" s="9">
        <f>IF(G69&gt;0,1-L69/G69,"")</f>
        <v/>
      </c>
      <c r="P69" s="10" t="n"/>
      <c r="Q69" t="b">
        <v>0</v>
      </c>
      <c r="R69" t="b">
        <v>0</v>
      </c>
      <c r="S69" t="inlineStr">
        <is>
          <t>1.5</t>
        </is>
      </c>
      <c r="T69" t="inlineStr">
        <is>
          <t>0.7859078709</t>
        </is>
      </c>
    </row>
    <row r="70">
      <c r="A70" t="n">
        <v>69</v>
      </c>
      <c r="B70" t="inlineStr">
        <is>
          <t>79</t>
        </is>
      </c>
      <c r="C70" t="inlineStr">
        <is>
          <t>Terraces</t>
        </is>
      </c>
      <c r="D70" t="inlineStr">
        <is>
          <t>Babaganoush</t>
        </is>
      </c>
      <c r="E70" t="inlineStr">
        <is>
          <t>TERDIP</t>
        </is>
      </c>
      <c r="F70" t="inlineStr">
        <is>
          <t>TERDIP02</t>
        </is>
      </c>
      <c r="G70" s="6" t="n">
        <v>7</v>
      </c>
      <c r="H70" s="6" t="n">
        <v>3.3</v>
      </c>
      <c r="I70" s="7" t="n">
        <v>2.367176444</v>
      </c>
      <c r="J70" s="7" t="n">
        <v>2.935298791</v>
      </c>
      <c r="K70" s="7" t="n">
        <v>0.7101529333</v>
      </c>
      <c r="L70" s="8">
        <f>SUMIF(Recipe_Components!$A$2:$A$515,A70,Recipe_Components!$F$2:$F$515)</f>
        <v/>
      </c>
      <c r="M70" s="8">
        <f>IF(AND(K70&lt;&gt;"",L70&lt;&gt;""),L70-K70,"")</f>
        <v/>
      </c>
      <c r="N70" s="8">
        <f>IF(AND(G70&lt;&gt;"",H70&lt;&gt;""),G70-H70,"")</f>
        <v/>
      </c>
      <c r="O70" s="9">
        <f>IF(G70&gt;0,1-L70/G70,"")</f>
        <v/>
      </c>
      <c r="P70" s="10" t="n"/>
      <c r="Q70" t="b">
        <v>0</v>
      </c>
      <c r="R70" t="b">
        <v>0</v>
      </c>
      <c r="S70" t="inlineStr">
        <is>
          <t>3.7</t>
        </is>
      </c>
      <c r="T70" t="inlineStr">
        <is>
          <t>0.8742014804</t>
        </is>
      </c>
    </row>
    <row r="71">
      <c r="A71" t="n">
        <v>70</v>
      </c>
      <c r="B71" t="inlineStr">
        <is>
          <t>80</t>
        </is>
      </c>
      <c r="C71" t="inlineStr">
        <is>
          <t>Terraces</t>
        </is>
      </c>
      <c r="D71" t="inlineStr">
        <is>
          <t>Tzatsiki</t>
        </is>
      </c>
      <c r="E71" t="inlineStr">
        <is>
          <t>TERDIP</t>
        </is>
      </c>
      <c r="F71" t="inlineStr">
        <is>
          <t>TERDIP03</t>
        </is>
      </c>
      <c r="G71" s="6" t="n">
        <v>7</v>
      </c>
      <c r="H71" s="6" t="n">
        <v>3.3</v>
      </c>
      <c r="I71" s="7" t="n">
        <v>2.045389143</v>
      </c>
      <c r="J71" s="7" t="n">
        <v>2.536282537</v>
      </c>
      <c r="K71" s="7" t="n">
        <v>0.6136167429</v>
      </c>
      <c r="L71" s="8">
        <f>SUMIF(Recipe_Components!$A$2:$A$515,A71,Recipe_Components!$F$2:$F$515)</f>
        <v/>
      </c>
      <c r="M71" s="8">
        <f>IF(AND(K71&lt;&gt;"",L71&lt;&gt;""),L71-K71,"")</f>
        <v/>
      </c>
      <c r="N71" s="8">
        <f>IF(AND(G71&lt;&gt;"",H71&lt;&gt;""),G71-H71,"")</f>
        <v/>
      </c>
      <c r="O71" s="9">
        <f>IF(G71&gt;0,1-L71/G71,"")</f>
        <v/>
      </c>
      <c r="P71" s="10" t="n"/>
      <c r="Q71" t="b">
        <v>0</v>
      </c>
      <c r="R71" t="b">
        <v>0</v>
      </c>
      <c r="S71" t="inlineStr">
        <is>
          <t>3.7</t>
        </is>
      </c>
      <c r="T71" t="inlineStr">
        <is>
          <t>0.891302177</t>
        </is>
      </c>
    </row>
    <row r="72">
      <c r="A72" t="n">
        <v>71</v>
      </c>
      <c r="B72" t="inlineStr">
        <is>
          <t>81</t>
        </is>
      </c>
      <c r="C72" t="inlineStr">
        <is>
          <t>Terraces</t>
        </is>
      </c>
      <c r="D72" t="inlineStr">
        <is>
          <t>Beetroot hummus</t>
        </is>
      </c>
      <c r="E72" t="inlineStr">
        <is>
          <t>TERDIP</t>
        </is>
      </c>
      <c r="F72" t="inlineStr">
        <is>
          <t>TERDIP04</t>
        </is>
      </c>
      <c r="G72" s="6" t="n"/>
      <c r="H72" s="6" t="n">
        <v>3.3</v>
      </c>
      <c r="I72" s="7" t="n">
        <v>2.099368483</v>
      </c>
      <c r="J72" s="7" t="n">
        <v>2.603216919</v>
      </c>
      <c r="K72" s="7" t="n">
        <v>0.6298105449</v>
      </c>
      <c r="L72" s="8">
        <f>SUMIF(Recipe_Components!$A$2:$A$515,A72,Recipe_Components!$F$2:$F$515)</f>
        <v/>
      </c>
      <c r="M72" s="8">
        <f>IF(AND(K72&lt;&gt;"",L72&lt;&gt;""),L72-K72,"")</f>
        <v/>
      </c>
      <c r="N72" s="8">
        <f>IF(AND(G72&lt;&gt;"",H72&lt;&gt;""),G72-H72,"")</f>
        <v/>
      </c>
      <c r="O72" s="9">
        <f>IF(G72&gt;0,1-L72/G72,"")</f>
        <v/>
      </c>
      <c r="P72" s="10" t="n"/>
      <c r="Q72" t="b">
        <v>0</v>
      </c>
      <c r="R72" t="b">
        <v>0</v>
      </c>
      <c r="S72" t="inlineStr">
        <is>
          <t>-3.3</t>
        </is>
      </c>
    </row>
    <row r="73">
      <c r="A73" t="n">
        <v>72</v>
      </c>
      <c r="B73" t="inlineStr">
        <is>
          <t>82</t>
        </is>
      </c>
      <c r="C73" t="inlineStr">
        <is>
          <t>Terraces</t>
        </is>
      </c>
      <c r="D73" t="inlineStr">
        <is>
          <t>3 dips</t>
        </is>
      </c>
      <c r="E73" t="inlineStr">
        <is>
          <t>TERDIP</t>
        </is>
      </c>
      <c r="F73" t="inlineStr">
        <is>
          <t>TERDIP05</t>
        </is>
      </c>
      <c r="G73" s="6" t="n">
        <v>19</v>
      </c>
      <c r="H73" s="6" t="n">
        <v>11</v>
      </c>
      <c r="I73" s="7" t="n">
        <v>7.841180921</v>
      </c>
      <c r="J73" s="7" t="n">
        <v>9.723064342000001</v>
      </c>
      <c r="K73" s="7" t="n">
        <v>2.352354276</v>
      </c>
      <c r="L73" s="8">
        <f>SUMIF(Recipe_Components!$A$2:$A$515,A73,Recipe_Components!$F$2:$F$515)</f>
        <v/>
      </c>
      <c r="M73" s="8">
        <f>IF(AND(K73&lt;&gt;"",L73&lt;&gt;""),L73-K73,"")</f>
        <v/>
      </c>
      <c r="N73" s="8">
        <f>IF(AND(G73&lt;&gt;"",H73&lt;&gt;""),G73-H73,"")</f>
        <v/>
      </c>
      <c r="O73" s="9">
        <f>IF(G73&gt;0,1-L73/G73,"")</f>
        <v/>
      </c>
      <c r="P73" s="10" t="n"/>
      <c r="S73" t="inlineStr">
        <is>
          <t>8</t>
        </is>
      </c>
      <c r="T73" t="inlineStr">
        <is>
          <t>0.8464779314</t>
        </is>
      </c>
    </row>
    <row r="74">
      <c r="A74" t="n">
        <v>73</v>
      </c>
      <c r="B74" t="inlineStr">
        <is>
          <t>84</t>
        </is>
      </c>
      <c r="C74" t="inlineStr">
        <is>
          <t>Terraces</t>
        </is>
      </c>
      <c r="D74" t="inlineStr">
        <is>
          <t>Labenah</t>
        </is>
      </c>
      <c r="E74" t="inlineStr">
        <is>
          <t>TERSTART</t>
        </is>
      </c>
      <c r="F74" t="inlineStr">
        <is>
          <t>TERSTART01</t>
        </is>
      </c>
      <c r="G74" s="6" t="n">
        <v>10</v>
      </c>
      <c r="H74" s="6" t="n">
        <v>5.5</v>
      </c>
      <c r="I74" s="7" t="n">
        <v>3.7489256</v>
      </c>
      <c r="J74" s="7" t="n">
        <v>4.648667744</v>
      </c>
      <c r="K74" s="7" t="n">
        <v>1.12467768</v>
      </c>
      <c r="L74" s="8">
        <f>SUMIF(Recipe_Components!$A$2:$A$515,A74,Recipe_Components!$F$2:$F$515)</f>
        <v/>
      </c>
      <c r="M74" s="8">
        <f>IF(AND(K74&lt;&gt;"",L74&lt;&gt;""),L74-K74,"")</f>
        <v/>
      </c>
      <c r="N74" s="8">
        <f>IF(AND(G74&lt;&gt;"",H74&lt;&gt;""),G74-H74,"")</f>
        <v/>
      </c>
      <c r="O74" s="9">
        <f>IF(G74&gt;0,1-L74/G74,"")</f>
        <v/>
      </c>
      <c r="P74" s="10" t="n"/>
      <c r="Q74" t="b">
        <v>0</v>
      </c>
      <c r="R74" t="b">
        <v>0</v>
      </c>
      <c r="S74" t="inlineStr">
        <is>
          <t>4.5</t>
        </is>
      </c>
      <c r="T74" t="inlineStr">
        <is>
          <t>0.8605399677</t>
        </is>
      </c>
    </row>
    <row r="75">
      <c r="A75" t="n">
        <v>74</v>
      </c>
      <c r="B75" t="inlineStr">
        <is>
          <t>85</t>
        </is>
      </c>
      <c r="C75" t="inlineStr">
        <is>
          <t>Terraces</t>
        </is>
      </c>
      <c r="D75" t="inlineStr">
        <is>
          <t>Grilled octopus</t>
        </is>
      </c>
      <c r="E75" t="inlineStr">
        <is>
          <t>TERSTART</t>
        </is>
      </c>
      <c r="F75" t="inlineStr">
        <is>
          <t>TERSTART02</t>
        </is>
      </c>
      <c r="G75" s="6" t="n">
        <v>14</v>
      </c>
      <c r="H75" s="6" t="n">
        <v>14.3</v>
      </c>
      <c r="I75" s="7" t="n">
        <v>10.428625</v>
      </c>
      <c r="J75" s="7" t="n">
        <v>12.931495</v>
      </c>
      <c r="K75" s="7" t="n">
        <v>3.1285875</v>
      </c>
      <c r="L75" s="8">
        <f>SUMIF(Recipe_Components!$A$2:$A$515,A75,Recipe_Components!$F$2:$F$515)</f>
        <v/>
      </c>
      <c r="M75" s="8">
        <f>IF(AND(K75&lt;&gt;"",L75&lt;&gt;""),L75-K75,"")</f>
        <v/>
      </c>
      <c r="N75" s="8">
        <f>IF(AND(G75&lt;&gt;"",H75&lt;&gt;""),G75-H75,"")</f>
        <v/>
      </c>
      <c r="O75" s="9">
        <f>IF(G75&gt;0,1-L75/G75,"")</f>
        <v/>
      </c>
      <c r="P75" s="10" t="n"/>
      <c r="Q75" t="b">
        <v>0</v>
      </c>
      <c r="R75" t="b">
        <v>0</v>
      </c>
      <c r="S75" t="inlineStr">
        <is>
          <t>-0.3</t>
        </is>
      </c>
      <c r="T75" t="inlineStr">
        <is>
          <t>0.7228965357</t>
        </is>
      </c>
    </row>
    <row r="76">
      <c r="A76" t="n">
        <v>75</v>
      </c>
      <c r="B76" t="inlineStr">
        <is>
          <t>86</t>
        </is>
      </c>
      <c r="C76" t="inlineStr">
        <is>
          <t>Terraces</t>
        </is>
      </c>
      <c r="D76" t="inlineStr">
        <is>
          <t>Prawns</t>
        </is>
      </c>
      <c r="E76" t="inlineStr">
        <is>
          <t>TERSTART</t>
        </is>
      </c>
      <c r="F76" t="inlineStr">
        <is>
          <t>TERSTART03</t>
        </is>
      </c>
      <c r="G76" s="6" t="n">
        <v>14</v>
      </c>
      <c r="H76" s="6" t="n">
        <v>12.1</v>
      </c>
      <c r="I76" s="7" t="n">
        <v>8.323333333000001</v>
      </c>
      <c r="J76" s="7" t="n">
        <v>10.32093333</v>
      </c>
      <c r="K76" s="7" t="n">
        <v>2.497</v>
      </c>
      <c r="L76" s="8">
        <f>SUMIF(Recipe_Components!$A$2:$A$515,A76,Recipe_Components!$F$2:$F$515)</f>
        <v/>
      </c>
      <c r="M76" s="8">
        <f>IF(AND(K76&lt;&gt;"",L76&lt;&gt;""),L76-K76,"")</f>
        <v/>
      </c>
      <c r="N76" s="8">
        <f>IF(AND(G76&lt;&gt;"",H76&lt;&gt;""),G76-H76,"")</f>
        <v/>
      </c>
      <c r="O76" s="9">
        <f>IF(G76&gt;0,1-L76/G76,"")</f>
        <v/>
      </c>
      <c r="P76" s="10" t="n"/>
      <c r="Q76" t="b">
        <v>0</v>
      </c>
      <c r="R76" t="b">
        <v>0</v>
      </c>
      <c r="S76" t="inlineStr">
        <is>
          <t>1.9</t>
        </is>
      </c>
      <c r="T76" t="inlineStr">
        <is>
          <t>0.7788371429</t>
        </is>
      </c>
    </row>
    <row r="77">
      <c r="A77" t="n">
        <v>76</v>
      </c>
      <c r="B77" t="inlineStr">
        <is>
          <t>87</t>
        </is>
      </c>
      <c r="C77" t="inlineStr">
        <is>
          <t>Terraces</t>
        </is>
      </c>
      <c r="D77" t="inlineStr">
        <is>
          <t>Cucumber gazpacho</t>
        </is>
      </c>
      <c r="E77" t="inlineStr">
        <is>
          <t>TERSTART</t>
        </is>
      </c>
      <c r="F77" t="inlineStr">
        <is>
          <t>TERSTART04</t>
        </is>
      </c>
      <c r="G77" s="6" t="n">
        <v>10</v>
      </c>
      <c r="H77" s="6" t="n">
        <v>3.3</v>
      </c>
      <c r="I77" s="7" t="n">
        <v>2.061782</v>
      </c>
      <c r="J77" s="7" t="n">
        <v>2.55660968</v>
      </c>
      <c r="K77" s="7" t="n">
        <v>0.6185346</v>
      </c>
      <c r="L77" s="8">
        <f>SUMIF(Recipe_Components!$A$2:$A$515,A77,Recipe_Components!$F$2:$F$515)</f>
        <v/>
      </c>
      <c r="M77" s="8">
        <f>IF(AND(K77&lt;&gt;"",L77&lt;&gt;""),L77-K77,"")</f>
        <v/>
      </c>
      <c r="N77" s="8">
        <f>IF(AND(G77&lt;&gt;"",H77&lt;&gt;""),G77-H77,"")</f>
        <v/>
      </c>
      <c r="O77" s="9">
        <f>IF(G77&gt;0,1-L77/G77,"")</f>
        <v/>
      </c>
      <c r="P77" s="10" t="n"/>
      <c r="Q77" t="b">
        <v>0</v>
      </c>
      <c r="R77" t="b">
        <v>0</v>
      </c>
      <c r="S77" t="inlineStr">
        <is>
          <t>6.7</t>
        </is>
      </c>
      <c r="T77" t="inlineStr">
        <is>
          <t>0.9233017096</t>
        </is>
      </c>
    </row>
    <row r="78">
      <c r="A78" t="n">
        <v>77</v>
      </c>
      <c r="B78" t="inlineStr">
        <is>
          <t>89</t>
        </is>
      </c>
      <c r="C78" t="inlineStr">
        <is>
          <t>Terraces</t>
        </is>
      </c>
      <c r="D78" t="inlineStr">
        <is>
          <t>Fatoush salad</t>
        </is>
      </c>
      <c r="E78" t="inlineStr">
        <is>
          <t>TERSALAD</t>
        </is>
      </c>
      <c r="F78" t="inlineStr">
        <is>
          <t>TERSALAD01</t>
        </is>
      </c>
      <c r="G78" s="6" t="n">
        <v>17</v>
      </c>
      <c r="H78" s="6" t="n">
        <v>5.5</v>
      </c>
      <c r="I78" s="7" t="n">
        <v>3.581395556</v>
      </c>
      <c r="J78" s="7" t="n">
        <v>4.440930489</v>
      </c>
      <c r="K78" s="7" t="n">
        <v>1.074418667</v>
      </c>
      <c r="L78" s="8">
        <f>SUMIF(Recipe_Components!$A$2:$A$515,A78,Recipe_Components!$F$2:$F$515)</f>
        <v/>
      </c>
      <c r="M78" s="8">
        <f>IF(AND(K78&lt;&gt;"",L78&lt;&gt;""),L78-K78,"")</f>
        <v/>
      </c>
      <c r="N78" s="8">
        <f>IF(AND(G78&lt;&gt;"",H78&lt;&gt;""),G78-H78,"")</f>
        <v/>
      </c>
      <c r="O78" s="9">
        <f>IF(G78&gt;0,1-L78/G78,"")</f>
        <v/>
      </c>
      <c r="P78" s="10" t="n"/>
      <c r="Q78" t="b">
        <v>0</v>
      </c>
      <c r="R78" t="b">
        <v>0</v>
      </c>
      <c r="S78" t="inlineStr">
        <is>
          <t>11.5</t>
        </is>
      </c>
      <c r="T78" t="inlineStr">
        <is>
          <t>0.9216306384</t>
        </is>
      </c>
    </row>
    <row r="79">
      <c r="A79" t="n">
        <v>78</v>
      </c>
      <c r="B79" t="inlineStr">
        <is>
          <t>90</t>
        </is>
      </c>
      <c r="C79" t="inlineStr">
        <is>
          <t>Terraces</t>
        </is>
      </c>
      <c r="D79" t="inlineStr">
        <is>
          <t>Roast beetroot and goats cheese salad</t>
        </is>
      </c>
      <c r="E79" t="inlineStr">
        <is>
          <t>TERSALAD</t>
        </is>
      </c>
      <c r="F79" t="inlineStr">
        <is>
          <t>TERSALAD02</t>
        </is>
      </c>
      <c r="G79" s="6" t="n">
        <v>17</v>
      </c>
      <c r="H79" s="6" t="n">
        <v>7.7</v>
      </c>
      <c r="I79" s="7" t="n">
        <v>5.456833333</v>
      </c>
      <c r="J79" s="7" t="n">
        <v>6.766473333</v>
      </c>
      <c r="K79" s="7" t="n">
        <v>1.63705</v>
      </c>
      <c r="L79" s="8">
        <f>SUMIF(Recipe_Components!$A$2:$A$515,A79,Recipe_Components!$F$2:$F$515)</f>
        <v/>
      </c>
      <c r="M79" s="8">
        <f>IF(AND(K79&lt;&gt;"",L79&lt;&gt;""),L79-K79,"")</f>
        <v/>
      </c>
      <c r="N79" s="8">
        <f>IF(AND(G79&lt;&gt;"",H79&lt;&gt;""),G79-H79,"")</f>
        <v/>
      </c>
      <c r="O79" s="9">
        <f>IF(G79&gt;0,1-L79/G79,"")</f>
        <v/>
      </c>
      <c r="P79" s="10" t="n"/>
      <c r="Q79" t="b">
        <v>0</v>
      </c>
      <c r="R79" t="b">
        <v>0</v>
      </c>
      <c r="S79" t="inlineStr">
        <is>
          <t>9.3</t>
        </is>
      </c>
      <c r="T79" t="inlineStr">
        <is>
          <t>0.8805916471</t>
        </is>
      </c>
    </row>
    <row r="80">
      <c r="A80" t="n">
        <v>79</v>
      </c>
      <c r="B80" t="inlineStr">
        <is>
          <t>91</t>
        </is>
      </c>
      <c r="C80" t="inlineStr">
        <is>
          <t>Terraces</t>
        </is>
      </c>
      <c r="D80" t="inlineStr">
        <is>
          <t>Avocado and roasted pumkin Salad</t>
        </is>
      </c>
      <c r="E80" t="inlineStr">
        <is>
          <t>TERSALAD</t>
        </is>
      </c>
      <c r="F80" t="inlineStr">
        <is>
          <t>TERSALAD03</t>
        </is>
      </c>
      <c r="G80" s="6" t="n"/>
      <c r="H80" s="6" t="n">
        <v>5.5</v>
      </c>
      <c r="I80" s="7" t="n">
        <v>3.606413131</v>
      </c>
      <c r="J80" s="7" t="n">
        <v>4.471952283</v>
      </c>
      <c r="K80" s="7" t="n">
        <v>1.081923939</v>
      </c>
      <c r="L80" s="8">
        <f>SUMIF(Recipe_Components!$A$2:$A$515,A80,Recipe_Components!$F$2:$F$515)</f>
        <v/>
      </c>
      <c r="M80" s="8">
        <f>IF(AND(K80&lt;&gt;"",L80&lt;&gt;""),L80-K80,"")</f>
        <v/>
      </c>
      <c r="N80" s="8">
        <f>IF(AND(G80&lt;&gt;"",H80&lt;&gt;""),G80-H80,"")</f>
        <v/>
      </c>
      <c r="O80" s="9">
        <f>IF(G80&gt;0,1-L80/G80,"")</f>
        <v/>
      </c>
      <c r="P80" s="10" t="n"/>
      <c r="Q80" t="b">
        <v>0</v>
      </c>
      <c r="R80" t="b">
        <v>0</v>
      </c>
      <c r="S80" t="inlineStr">
        <is>
          <t>-5.5</t>
        </is>
      </c>
    </row>
    <row r="81">
      <c r="A81" t="n">
        <v>80</v>
      </c>
      <c r="B81" t="inlineStr">
        <is>
          <t>92</t>
        </is>
      </c>
      <c r="C81" t="inlineStr">
        <is>
          <t>Terraces</t>
        </is>
      </c>
      <c r="D81" t="inlineStr">
        <is>
          <t>- add halloumi</t>
        </is>
      </c>
      <c r="E81" t="inlineStr">
        <is>
          <t>TERSALAD</t>
        </is>
      </c>
      <c r="F81" t="inlineStr">
        <is>
          <t>TERSALAD04</t>
        </is>
      </c>
      <c r="G81" s="6" t="n"/>
      <c r="H81" s="6" t="n">
        <v>6.6</v>
      </c>
      <c r="I81" s="7" t="n">
        <v>4.25</v>
      </c>
      <c r="J81" s="7" t="n">
        <v>5.27</v>
      </c>
      <c r="K81" s="7" t="n">
        <v>1.275</v>
      </c>
      <c r="L81" s="8">
        <f>SUMIF(Recipe_Components!$A$2:$A$515,A81,Recipe_Components!$F$2:$F$515)</f>
        <v/>
      </c>
      <c r="M81" s="8">
        <f>IF(AND(K81&lt;&gt;"",L81&lt;&gt;""),L81-K81,"")</f>
        <v/>
      </c>
      <c r="N81" s="8">
        <f>IF(AND(G81&lt;&gt;"",H81&lt;&gt;""),G81-H81,"")</f>
        <v/>
      </c>
      <c r="O81" s="9">
        <f>IF(G81&gt;0,1-L81/G81,"")</f>
        <v/>
      </c>
      <c r="P81" s="10" t="n"/>
      <c r="Q81" t="b">
        <v>0</v>
      </c>
      <c r="R81" t="b">
        <v>0</v>
      </c>
      <c r="S81" t="inlineStr">
        <is>
          <t>-6.6</t>
        </is>
      </c>
    </row>
    <row r="82">
      <c r="A82" t="n">
        <v>81</v>
      </c>
      <c r="B82" t="inlineStr">
        <is>
          <t>93</t>
        </is>
      </c>
      <c r="C82" t="inlineStr">
        <is>
          <t>Terraces</t>
        </is>
      </c>
      <c r="D82" t="inlineStr">
        <is>
          <t>- add falafel</t>
        </is>
      </c>
      <c r="E82" t="inlineStr">
        <is>
          <t>TERSALAD</t>
        </is>
      </c>
      <c r="F82" t="inlineStr">
        <is>
          <t>TERSALAD05</t>
        </is>
      </c>
      <c r="G82" s="6" t="n"/>
      <c r="H82" s="6" t="n">
        <v>0</v>
      </c>
      <c r="I82" s="7" t="n">
        <v>0</v>
      </c>
      <c r="J82" s="7" t="n">
        <v>0</v>
      </c>
      <c r="K82" s="7" t="n">
        <v>0</v>
      </c>
      <c r="L82" s="8">
        <f>SUMIF(Recipe_Components!$A$2:$A$515,A82,Recipe_Components!$F$2:$F$515)</f>
        <v/>
      </c>
      <c r="M82" s="8">
        <f>IF(AND(K82&lt;&gt;"",L82&lt;&gt;""),L82-K82,"")</f>
        <v/>
      </c>
      <c r="N82" s="8">
        <f>IF(AND(G82&lt;&gt;"",H82&lt;&gt;""),G82-H82,"")</f>
        <v/>
      </c>
      <c r="O82" s="9">
        <f>IF(G82&gt;0,1-L82/G82,"")</f>
        <v/>
      </c>
      <c r="P82" s="10" t="n"/>
      <c r="Q82" t="b">
        <v>0</v>
      </c>
      <c r="R82" t="b">
        <v>0</v>
      </c>
      <c r="S82" t="inlineStr">
        <is>
          <t>0</t>
        </is>
      </c>
    </row>
    <row r="83">
      <c r="A83" t="n">
        <v>82</v>
      </c>
      <c r="B83" t="inlineStr">
        <is>
          <t>94</t>
        </is>
      </c>
      <c r="C83" t="inlineStr">
        <is>
          <t>Terraces</t>
        </is>
      </c>
      <c r="D83" t="inlineStr">
        <is>
          <t>- add chicken</t>
        </is>
      </c>
      <c r="E83" t="inlineStr">
        <is>
          <t>TERSALAD</t>
        </is>
      </c>
      <c r="F83" t="inlineStr">
        <is>
          <t>TERSALAD06</t>
        </is>
      </c>
      <c r="G83" s="6" t="n"/>
      <c r="H83" s="6" t="n">
        <v>3.3</v>
      </c>
      <c r="I83" s="7" t="n">
        <v>2.266666667</v>
      </c>
      <c r="J83" s="7" t="n">
        <v>2.810666667</v>
      </c>
      <c r="K83" s="7" t="n">
        <v>0.68</v>
      </c>
      <c r="L83" s="8">
        <f>SUMIF(Recipe_Components!$A$2:$A$515,A83,Recipe_Components!$F$2:$F$515)</f>
        <v/>
      </c>
      <c r="M83" s="8">
        <f>IF(AND(K83&lt;&gt;"",L83&lt;&gt;""),L83-K83,"")</f>
        <v/>
      </c>
      <c r="N83" s="8">
        <f>IF(AND(G83&lt;&gt;"",H83&lt;&gt;""),G83-H83,"")</f>
        <v/>
      </c>
      <c r="O83" s="9">
        <f>IF(G83&gt;0,1-L83/G83,"")</f>
        <v/>
      </c>
      <c r="P83" s="10" t="n"/>
      <c r="Q83" t="b">
        <v>0</v>
      </c>
      <c r="R83" t="b">
        <v>0</v>
      </c>
      <c r="S83" t="inlineStr">
        <is>
          <t>-3.3</t>
        </is>
      </c>
    </row>
    <row r="84">
      <c r="A84" t="n">
        <v>83</v>
      </c>
      <c r="B84" t="inlineStr">
        <is>
          <t>95</t>
        </is>
      </c>
      <c r="C84" t="inlineStr">
        <is>
          <t>Terraces</t>
        </is>
      </c>
      <c r="D84" t="inlineStr">
        <is>
          <t>Island Tomato Salad</t>
        </is>
      </c>
      <c r="E84" t="inlineStr">
        <is>
          <t>TERSALAD</t>
        </is>
      </c>
      <c r="F84" t="inlineStr">
        <is>
          <t>TERSALAD07</t>
        </is>
      </c>
      <c r="G84" s="6" t="n">
        <v>15</v>
      </c>
      <c r="H84" s="6" t="n">
        <v>0</v>
      </c>
      <c r="I84" s="7" t="n">
        <v>0</v>
      </c>
      <c r="J84" s="7" t="n">
        <v>0</v>
      </c>
      <c r="K84" s="7" t="n">
        <v>0</v>
      </c>
      <c r="L84" s="8">
        <f>SUMIF(Recipe_Components!$A$2:$A$515,A84,Recipe_Components!$F$2:$F$515)</f>
        <v/>
      </c>
      <c r="M84" s="8">
        <f>IF(AND(K84&lt;&gt;"",L84&lt;&gt;""),L84-K84,"")</f>
        <v/>
      </c>
      <c r="N84" s="8">
        <f>IF(AND(G84&lt;&gt;"",H84&lt;&gt;""),G84-H84,"")</f>
        <v/>
      </c>
      <c r="O84" s="9">
        <f>IF(G84&gt;0,1-L84/G84,"")</f>
        <v/>
      </c>
      <c r="P84" s="10" t="n"/>
      <c r="Q84" t="b">
        <v>0</v>
      </c>
      <c r="R84" t="b">
        <v>0</v>
      </c>
      <c r="S84" t="inlineStr">
        <is>
          <t>15</t>
        </is>
      </c>
    </row>
    <row r="85">
      <c r="A85" t="n">
        <v>84</v>
      </c>
      <c r="B85" t="inlineStr">
        <is>
          <t>97</t>
        </is>
      </c>
      <c r="C85" t="inlineStr">
        <is>
          <t>Terraces</t>
        </is>
      </c>
      <c r="D85" t="inlineStr">
        <is>
          <t>Firecooked Chicken</t>
        </is>
      </c>
      <c r="E85" t="inlineStr">
        <is>
          <t>TERRMAIN</t>
        </is>
      </c>
      <c r="F85" t="inlineStr">
        <is>
          <t>TERRMAIN01</t>
        </is>
      </c>
      <c r="G85" s="6" t="n">
        <v>18</v>
      </c>
      <c r="H85" s="6" t="n">
        <v>6.6</v>
      </c>
      <c r="I85" s="7" t="n">
        <v>4.633333333</v>
      </c>
      <c r="J85" s="7" t="n">
        <v>5.745333333</v>
      </c>
      <c r="K85" s="7" t="n">
        <v>1.39</v>
      </c>
      <c r="L85" s="8">
        <f>SUMIF(Recipe_Components!$A$2:$A$515,A85,Recipe_Components!$F$2:$F$515)</f>
        <v/>
      </c>
      <c r="M85" s="8">
        <f>IF(AND(K85&lt;&gt;"",L85&lt;&gt;""),L85-K85,"")</f>
        <v/>
      </c>
      <c r="N85" s="8">
        <f>IF(AND(G85&lt;&gt;"",H85&lt;&gt;""),G85-H85,"")</f>
        <v/>
      </c>
      <c r="O85" s="9">
        <f>IF(G85&gt;0,1-L85/G85,"")</f>
        <v/>
      </c>
      <c r="P85" s="10" t="n"/>
      <c r="Q85" t="b">
        <v>0</v>
      </c>
      <c r="R85" t="b">
        <v>0</v>
      </c>
      <c r="S85" t="inlineStr">
        <is>
          <t>11.4</t>
        </is>
      </c>
      <c r="T85" t="inlineStr">
        <is>
          <t>0.9042444444</t>
        </is>
      </c>
    </row>
    <row r="86">
      <c r="A86" t="n">
        <v>85</v>
      </c>
      <c r="B86" t="inlineStr">
        <is>
          <t>98</t>
        </is>
      </c>
      <c r="C86" t="inlineStr">
        <is>
          <t>Terraces</t>
        </is>
      </c>
      <c r="D86" t="inlineStr">
        <is>
          <t>Butterflied Lamb</t>
        </is>
      </c>
      <c r="E86" t="inlineStr">
        <is>
          <t>TERRMAIN</t>
        </is>
      </c>
      <c r="F86" t="inlineStr">
        <is>
          <t>TERRMAIN02</t>
        </is>
      </c>
      <c r="G86" s="6" t="n">
        <v>22</v>
      </c>
      <c r="H86" s="6" t="n">
        <v>18.7</v>
      </c>
      <c r="I86" s="7" t="n">
        <v>13.414</v>
      </c>
      <c r="J86" s="7" t="n">
        <v>16.63336</v>
      </c>
      <c r="K86" s="7" t="n">
        <v>4.0242</v>
      </c>
      <c r="L86" s="8">
        <f>SUMIF(Recipe_Components!$A$2:$A$515,A86,Recipe_Components!$F$2:$F$515)</f>
        <v/>
      </c>
      <c r="M86" s="8">
        <f>IF(AND(K86&lt;&gt;"",L86&lt;&gt;""),L86-K86,"")</f>
        <v/>
      </c>
      <c r="N86" s="8">
        <f>IF(AND(G86&lt;&gt;"",H86&lt;&gt;""),G86-H86,"")</f>
        <v/>
      </c>
      <c r="O86" s="9">
        <f>IF(G86&gt;0,1-L86/G86,"")</f>
        <v/>
      </c>
      <c r="P86" s="10" t="n"/>
      <c r="Q86" t="b">
        <v>0</v>
      </c>
      <c r="R86" t="b">
        <v>0</v>
      </c>
      <c r="S86" t="inlineStr">
        <is>
          <t>3.3</t>
        </is>
      </c>
      <c r="T86" t="inlineStr">
        <is>
          <t>0.7731814545</t>
        </is>
      </c>
    </row>
    <row r="87">
      <c r="A87" t="n">
        <v>86</v>
      </c>
      <c r="B87" t="inlineStr">
        <is>
          <t>99</t>
        </is>
      </c>
      <c r="C87" t="inlineStr">
        <is>
          <t>Terraces</t>
        </is>
      </c>
      <c r="D87" t="inlineStr">
        <is>
          <t>Whole grilled Seabass</t>
        </is>
      </c>
      <c r="E87" t="inlineStr">
        <is>
          <t>TERRMAIN</t>
        </is>
      </c>
      <c r="F87" t="inlineStr">
        <is>
          <t>TERRMAIN03</t>
        </is>
      </c>
      <c r="G87" s="6" t="n">
        <v>29</v>
      </c>
      <c r="H87" s="6" t="n">
        <v>27.5</v>
      </c>
      <c r="I87" s="7" t="n">
        <v>19.735</v>
      </c>
      <c r="J87" s="7" t="n">
        <v>24.4714</v>
      </c>
      <c r="K87" s="7" t="n">
        <v>5.9205</v>
      </c>
      <c r="L87" s="8">
        <f>SUMIF(Recipe_Components!$A$2:$A$515,A87,Recipe_Components!$F$2:$F$515)</f>
        <v/>
      </c>
      <c r="M87" s="8">
        <f>IF(AND(K87&lt;&gt;"",L87&lt;&gt;""),L87-K87,"")</f>
        <v/>
      </c>
      <c r="N87" s="8">
        <f>IF(AND(G87&lt;&gt;"",H87&lt;&gt;""),G87-H87,"")</f>
        <v/>
      </c>
      <c r="O87" s="9">
        <f>IF(G87&gt;0,1-L87/G87,"")</f>
        <v/>
      </c>
      <c r="P87" s="10" t="n"/>
      <c r="Q87" t="b">
        <v>0</v>
      </c>
      <c r="R87" t="b">
        <v>0</v>
      </c>
      <c r="S87" t="inlineStr">
        <is>
          <t>1.5</t>
        </is>
      </c>
      <c r="T87" t="inlineStr">
        <is>
          <t>0.7468475862</t>
        </is>
      </c>
    </row>
    <row r="88">
      <c r="A88" t="n">
        <v>87</v>
      </c>
      <c r="B88" t="inlineStr">
        <is>
          <t>100</t>
        </is>
      </c>
      <c r="C88" t="inlineStr">
        <is>
          <t>Terraces</t>
        </is>
      </c>
      <c r="D88" t="inlineStr">
        <is>
          <t>Seared Tuna steak</t>
        </is>
      </c>
      <c r="E88" t="inlineStr">
        <is>
          <t>TERRMAIN</t>
        </is>
      </c>
      <c r="F88" t="inlineStr">
        <is>
          <t>TERRMAIN04</t>
        </is>
      </c>
      <c r="G88" s="6" t="n"/>
      <c r="H88" s="6" t="n">
        <v>20.9</v>
      </c>
      <c r="I88" s="7" t="n">
        <v>14.85666667</v>
      </c>
      <c r="J88" s="7" t="n">
        <v>18.42226667</v>
      </c>
      <c r="K88" s="7" t="n">
        <v>4.457</v>
      </c>
      <c r="L88" s="8">
        <f>SUMIF(Recipe_Components!$A$2:$A$515,A88,Recipe_Components!$F$2:$F$515)</f>
        <v/>
      </c>
      <c r="M88" s="8">
        <f>IF(AND(K88&lt;&gt;"",L88&lt;&gt;""),L88-K88,"")</f>
        <v/>
      </c>
      <c r="N88" s="8">
        <f>IF(AND(G88&lt;&gt;"",H88&lt;&gt;""),G88-H88,"")</f>
        <v/>
      </c>
      <c r="O88" s="9">
        <f>IF(G88&gt;0,1-L88/G88,"")</f>
        <v/>
      </c>
      <c r="P88" s="10" t="n"/>
      <c r="Q88" t="b">
        <v>0</v>
      </c>
      <c r="R88" t="b">
        <v>0</v>
      </c>
      <c r="S88" t="inlineStr">
        <is>
          <t>-20.9</t>
        </is>
      </c>
    </row>
    <row r="89">
      <c r="A89" t="n">
        <v>88</v>
      </c>
      <c r="B89" t="inlineStr">
        <is>
          <t>101</t>
        </is>
      </c>
      <c r="C89" t="inlineStr">
        <is>
          <t>Terraces</t>
        </is>
      </c>
      <c r="D89" t="inlineStr">
        <is>
          <t>Roasted Cauliflower</t>
        </is>
      </c>
      <c r="E89" t="inlineStr">
        <is>
          <t>TERRMAIN</t>
        </is>
      </c>
      <c r="F89" t="inlineStr">
        <is>
          <t>TERRMAIN05</t>
        </is>
      </c>
      <c r="G89" s="6" t="n">
        <v>16</v>
      </c>
      <c r="H89" s="6" t="n">
        <v>3.3</v>
      </c>
      <c r="I89" s="7" t="n">
        <v>2.016666667</v>
      </c>
      <c r="J89" s="7" t="n">
        <v>2.500666667</v>
      </c>
      <c r="K89" s="7" t="n">
        <v>0.605</v>
      </c>
      <c r="L89" s="8">
        <f>SUMIF(Recipe_Components!$A$2:$A$515,A89,Recipe_Components!$F$2:$F$515)</f>
        <v/>
      </c>
      <c r="M89" s="8">
        <f>IF(AND(K89&lt;&gt;"",L89&lt;&gt;""),L89-K89,"")</f>
        <v/>
      </c>
      <c r="N89" s="8">
        <f>IF(AND(G89&lt;&gt;"",H89&lt;&gt;""),G89-H89,"")</f>
        <v/>
      </c>
      <c r="O89" s="9">
        <f>IF(G89&gt;0,1-L89/G89,"")</f>
        <v/>
      </c>
      <c r="P89" s="10" t="n"/>
      <c r="Q89" t="b">
        <v>0</v>
      </c>
      <c r="R89" t="b">
        <v>0</v>
      </c>
      <c r="S89" t="inlineStr">
        <is>
          <t>12.7</t>
        </is>
      </c>
      <c r="T89" t="inlineStr">
        <is>
          <t>0.9531125</t>
        </is>
      </c>
    </row>
    <row r="90">
      <c r="A90" t="n">
        <v>89</v>
      </c>
      <c r="B90" t="inlineStr">
        <is>
          <t>102</t>
        </is>
      </c>
      <c r="C90" t="inlineStr">
        <is>
          <t>Terraces</t>
        </is>
      </c>
      <c r="D90" t="inlineStr">
        <is>
          <t>Peli Burger</t>
        </is>
      </c>
      <c r="E90" t="inlineStr">
        <is>
          <t>TERRMAIN</t>
        </is>
      </c>
      <c r="F90" t="inlineStr">
        <is>
          <t>TERRMAIN06</t>
        </is>
      </c>
      <c r="G90" s="6" t="n"/>
      <c r="H90" s="6" t="n">
        <v>4.4</v>
      </c>
      <c r="I90" s="7" t="n">
        <v>3.161190476</v>
      </c>
      <c r="J90" s="7" t="n">
        <v>3.91987619</v>
      </c>
      <c r="K90" s="7" t="n">
        <v>0.9483571428999999</v>
      </c>
      <c r="L90" s="8">
        <f>SUMIF(Recipe_Components!$A$2:$A$515,A90,Recipe_Components!$F$2:$F$515)</f>
        <v/>
      </c>
      <c r="M90" s="8">
        <f>IF(AND(K90&lt;&gt;"",L90&lt;&gt;""),L90-K90,"")</f>
        <v/>
      </c>
      <c r="N90" s="8">
        <f>IF(AND(G90&lt;&gt;"",H90&lt;&gt;""),G90-H90,"")</f>
        <v/>
      </c>
      <c r="O90" s="9">
        <f>IF(G90&gt;0,1-L90/G90,"")</f>
        <v/>
      </c>
      <c r="P90" s="10" t="n"/>
      <c r="Q90" t="b">
        <v>0</v>
      </c>
      <c r="R90" t="b">
        <v>0</v>
      </c>
      <c r="S90" t="inlineStr">
        <is>
          <t>-4.4</t>
        </is>
      </c>
    </row>
    <row r="91">
      <c r="A91" t="n">
        <v>90</v>
      </c>
      <c r="B91" t="inlineStr">
        <is>
          <t>103</t>
        </is>
      </c>
      <c r="C91" t="inlineStr">
        <is>
          <t>Terraces</t>
        </is>
      </c>
      <c r="D91" t="inlineStr">
        <is>
          <t>Fish of the Day</t>
        </is>
      </c>
      <c r="E91" t="inlineStr">
        <is>
          <t>TERRMAIN</t>
        </is>
      </c>
      <c r="F91" t="inlineStr">
        <is>
          <t>TERRMAIN07</t>
        </is>
      </c>
      <c r="G91" s="6" t="n">
        <v>26</v>
      </c>
      <c r="H91" s="6" t="n">
        <v>0</v>
      </c>
      <c r="I91" s="7" t="n">
        <v>0</v>
      </c>
      <c r="J91" s="7" t="n">
        <v>0</v>
      </c>
      <c r="K91" s="7" t="n">
        <v>0</v>
      </c>
      <c r="L91" s="8">
        <f>SUMIF(Recipe_Components!$A$2:$A$515,A91,Recipe_Components!$F$2:$F$515)</f>
        <v/>
      </c>
      <c r="M91" s="8">
        <f>IF(AND(K91&lt;&gt;"",L91&lt;&gt;""),L91-K91,"")</f>
        <v/>
      </c>
      <c r="N91" s="8">
        <f>IF(AND(G91&lt;&gt;"",H91&lt;&gt;""),G91-H91,"")</f>
        <v/>
      </c>
      <c r="O91" s="9">
        <f>IF(G91&gt;0,1-L91/G91,"")</f>
        <v/>
      </c>
      <c r="P91" s="10" t="n"/>
      <c r="Q91" t="b">
        <v>0</v>
      </c>
      <c r="R91" t="b">
        <v>0</v>
      </c>
      <c r="S91" t="inlineStr">
        <is>
          <t>26</t>
        </is>
      </c>
      <c r="T91" t="inlineStr">
        <is>
          <t>1</t>
        </is>
      </c>
    </row>
    <row r="92">
      <c r="A92" t="n">
        <v>91</v>
      </c>
      <c r="B92" t="inlineStr">
        <is>
          <t>105</t>
        </is>
      </c>
      <c r="C92" t="inlineStr">
        <is>
          <t>Terraces</t>
        </is>
      </c>
      <c r="D92" t="inlineStr">
        <is>
          <t>- Firemade Chilli sauce</t>
        </is>
      </c>
      <c r="E92" t="inlineStr">
        <is>
          <t>TERRMAIN</t>
        </is>
      </c>
      <c r="F92" t="inlineStr">
        <is>
          <t>TERRMAIN08</t>
        </is>
      </c>
      <c r="G92" s="6" t="n"/>
      <c r="H92" s="6" t="n">
        <v>2.2</v>
      </c>
      <c r="I92" s="7" t="n">
        <v>1.267496296</v>
      </c>
      <c r="J92" s="7" t="n">
        <v>1.571695407</v>
      </c>
      <c r="K92" s="7" t="n">
        <v>0.3802488889</v>
      </c>
      <c r="L92" s="8">
        <f>SUMIF(Recipe_Components!$A$2:$A$515,A92,Recipe_Components!$F$2:$F$515)</f>
        <v/>
      </c>
      <c r="M92" s="8">
        <f>IF(AND(K92&lt;&gt;"",L92&lt;&gt;""),L92-K92,"")</f>
        <v/>
      </c>
      <c r="N92" s="8">
        <f>IF(AND(G92&lt;&gt;"",H92&lt;&gt;""),G92-H92,"")</f>
        <v/>
      </c>
      <c r="O92" s="9">
        <f>IF(G92&gt;0,1-L92/G92,"")</f>
        <v/>
      </c>
      <c r="P92" s="10" t="n"/>
      <c r="Q92" t="b">
        <v>0</v>
      </c>
      <c r="R92" t="b">
        <v>0</v>
      </c>
      <c r="S92" t="inlineStr">
        <is>
          <t>-2.2</t>
        </is>
      </c>
    </row>
    <row r="93">
      <c r="A93" t="n">
        <v>92</v>
      </c>
      <c r="B93" t="inlineStr">
        <is>
          <t>106</t>
        </is>
      </c>
      <c r="C93" t="inlineStr">
        <is>
          <t>Terraces</t>
        </is>
      </c>
      <c r="D93" t="inlineStr">
        <is>
          <t>- Chimichurri</t>
        </is>
      </c>
      <c r="E93" t="inlineStr">
        <is>
          <t>TERRMAIN</t>
        </is>
      </c>
      <c r="F93" t="inlineStr">
        <is>
          <t>TERRMAIN09</t>
        </is>
      </c>
      <c r="G93" s="6" t="n"/>
      <c r="H93" s="6" t="n">
        <v>2.2</v>
      </c>
      <c r="I93" s="7" t="n">
        <v>1.086613333</v>
      </c>
      <c r="J93" s="7" t="n">
        <v>1.347400533</v>
      </c>
      <c r="K93" s="7" t="n">
        <v>0.325984</v>
      </c>
      <c r="L93" s="8">
        <f>SUMIF(Recipe_Components!$A$2:$A$515,A93,Recipe_Components!$F$2:$F$515)</f>
        <v/>
      </c>
      <c r="M93" s="8">
        <f>IF(AND(K93&lt;&gt;"",L93&lt;&gt;""),L93-K93,"")</f>
        <v/>
      </c>
      <c r="N93" s="8">
        <f>IF(AND(G93&lt;&gt;"",H93&lt;&gt;""),G93-H93,"")</f>
        <v/>
      </c>
      <c r="O93" s="9">
        <f>IF(G93&gt;0,1-L93/G93,"")</f>
        <v/>
      </c>
      <c r="P93" s="10" t="n"/>
      <c r="Q93" t="b">
        <v>0</v>
      </c>
      <c r="R93" t="b">
        <v>0</v>
      </c>
      <c r="S93" t="inlineStr">
        <is>
          <t>-2.2</t>
        </is>
      </c>
    </row>
    <row r="94">
      <c r="A94" t="n">
        <v>93</v>
      </c>
      <c r="B94" t="inlineStr">
        <is>
          <t>107</t>
        </is>
      </c>
      <c r="C94" t="inlineStr">
        <is>
          <t>Terraces</t>
        </is>
      </c>
      <c r="D94" t="inlineStr">
        <is>
          <t>- Roasted pepper Salsa</t>
        </is>
      </c>
      <c r="E94" t="inlineStr">
        <is>
          <t>TERRMAIN</t>
        </is>
      </c>
      <c r="F94" t="inlineStr">
        <is>
          <t>TERRMAIN10</t>
        </is>
      </c>
      <c r="G94" s="6" t="n"/>
      <c r="H94" s="6" t="n">
        <v>1.1</v>
      </c>
      <c r="I94" s="7" t="n">
        <v>0.7972533333</v>
      </c>
      <c r="J94" s="7" t="n">
        <v>0.9885941333</v>
      </c>
      <c r="K94" s="7" t="n">
        <v>0.239176</v>
      </c>
      <c r="L94" s="8">
        <f>SUMIF(Recipe_Components!$A$2:$A$515,A94,Recipe_Components!$F$2:$F$515)</f>
        <v/>
      </c>
      <c r="M94" s="8">
        <f>IF(AND(K94&lt;&gt;"",L94&lt;&gt;""),L94-K94,"")</f>
        <v/>
      </c>
      <c r="N94" s="8">
        <f>IF(AND(G94&lt;&gt;"",H94&lt;&gt;""),G94-H94,"")</f>
        <v/>
      </c>
      <c r="O94" s="9">
        <f>IF(G94&gt;0,1-L94/G94,"")</f>
        <v/>
      </c>
      <c r="P94" s="10" t="n"/>
      <c r="Q94" t="b">
        <v>0</v>
      </c>
      <c r="R94" t="b">
        <v>0</v>
      </c>
      <c r="S94" t="inlineStr">
        <is>
          <t>-1.1</t>
        </is>
      </c>
    </row>
    <row r="95">
      <c r="A95" t="n">
        <v>94</v>
      </c>
      <c r="B95" t="inlineStr">
        <is>
          <t>108</t>
        </is>
      </c>
      <c r="C95" t="inlineStr">
        <is>
          <t>Terraces</t>
        </is>
      </c>
      <c r="D95" t="inlineStr">
        <is>
          <t>- lemon and herb</t>
        </is>
      </c>
      <c r="E95" t="inlineStr">
        <is>
          <t>TERRMAIN</t>
        </is>
      </c>
      <c r="F95" t="inlineStr">
        <is>
          <t>TERRMAIN11</t>
        </is>
      </c>
      <c r="G95" s="6" t="n"/>
      <c r="H95" s="6" t="n">
        <v>0</v>
      </c>
      <c r="I95" s="7" t="n">
        <v>0</v>
      </c>
      <c r="J95" s="7" t="n">
        <v>0</v>
      </c>
      <c r="K95" s="7" t="n">
        <v>0</v>
      </c>
      <c r="L95" s="8">
        <f>SUMIF(Recipe_Components!$A$2:$A$515,A95,Recipe_Components!$F$2:$F$515)</f>
        <v/>
      </c>
      <c r="M95" s="8">
        <f>IF(AND(K95&lt;&gt;"",L95&lt;&gt;""),L95-K95,"")</f>
        <v/>
      </c>
      <c r="N95" s="8">
        <f>IF(AND(G95&lt;&gt;"",H95&lt;&gt;""),G95-H95,"")</f>
        <v/>
      </c>
      <c r="O95" s="9">
        <f>IF(G95&gt;0,1-L95/G95,"")</f>
        <v/>
      </c>
      <c r="P95" s="10" t="n"/>
      <c r="Q95" t="b">
        <v>0</v>
      </c>
      <c r="R95" t="b">
        <v>0</v>
      </c>
      <c r="S95" t="inlineStr">
        <is>
          <t>0</t>
        </is>
      </c>
    </row>
    <row r="96">
      <c r="A96" t="n">
        <v>95</v>
      </c>
      <c r="B96" t="inlineStr">
        <is>
          <t>110</t>
        </is>
      </c>
      <c r="C96" t="inlineStr">
        <is>
          <t>Terraces</t>
        </is>
      </c>
      <c r="D96" t="inlineStr">
        <is>
          <t>Fries</t>
        </is>
      </c>
      <c r="E96" t="inlineStr">
        <is>
          <t>TERRSIDE</t>
        </is>
      </c>
      <c r="F96" t="inlineStr">
        <is>
          <t>TERRSIDE01</t>
        </is>
      </c>
      <c r="G96" s="6" t="n">
        <v>5</v>
      </c>
      <c r="H96" s="6" t="n">
        <v>2.2</v>
      </c>
      <c r="I96" s="7" t="n">
        <v>1.52</v>
      </c>
      <c r="J96" s="7" t="n">
        <v>1.8848</v>
      </c>
      <c r="K96" s="7" t="n">
        <v>0.456</v>
      </c>
      <c r="L96" s="8">
        <f>SUMIF(Recipe_Components!$A$2:$A$515,A96,Recipe_Components!$F$2:$F$515)</f>
        <v/>
      </c>
      <c r="M96" s="8">
        <f>IF(AND(K96&lt;&gt;"",L96&lt;&gt;""),L96-K96,"")</f>
        <v/>
      </c>
      <c r="N96" s="8">
        <f>IF(AND(G96&lt;&gt;"",H96&lt;&gt;""),G96-H96,"")</f>
        <v/>
      </c>
      <c r="O96" s="9">
        <f>IF(G96&gt;0,1-L96/G96,"")</f>
        <v/>
      </c>
      <c r="P96" s="10" t="n"/>
      <c r="Q96" t="b">
        <v>0</v>
      </c>
      <c r="R96" t="b">
        <v>0</v>
      </c>
      <c r="S96" t="inlineStr">
        <is>
          <t>2.8</t>
        </is>
      </c>
      <c r="T96" t="inlineStr">
        <is>
          <t>0.886912</t>
        </is>
      </c>
    </row>
    <row r="97">
      <c r="A97" t="n">
        <v>96</v>
      </c>
      <c r="B97" t="inlineStr">
        <is>
          <t>111</t>
        </is>
      </c>
      <c r="C97" t="inlineStr">
        <is>
          <t>Terraces</t>
        </is>
      </c>
      <c r="D97" t="inlineStr">
        <is>
          <t>truffle pamersan fries</t>
        </is>
      </c>
      <c r="E97" t="inlineStr">
        <is>
          <t>TERRSIDE</t>
        </is>
      </c>
      <c r="F97" t="inlineStr">
        <is>
          <t>TERRSIDE02</t>
        </is>
      </c>
      <c r="G97" s="6" t="n">
        <v>7</v>
      </c>
      <c r="H97" s="6" t="n">
        <v>3.3</v>
      </c>
      <c r="I97" s="7" t="n">
        <v>2.21</v>
      </c>
      <c r="J97" s="7" t="n">
        <v>2.7404</v>
      </c>
      <c r="K97" s="7" t="n">
        <v>0.663</v>
      </c>
      <c r="L97" s="8">
        <f>SUMIF(Recipe_Components!$A$2:$A$515,A97,Recipe_Components!$F$2:$F$515)</f>
        <v/>
      </c>
      <c r="M97" s="8">
        <f>IF(AND(K97&lt;&gt;"",L97&lt;&gt;""),L97-K97,"")</f>
        <v/>
      </c>
      <c r="N97" s="8">
        <f>IF(AND(G97&lt;&gt;"",H97&lt;&gt;""),G97-H97,"")</f>
        <v/>
      </c>
      <c r="O97" s="9">
        <f>IF(G97&gt;0,1-L97/G97,"")</f>
        <v/>
      </c>
      <c r="P97" s="10" t="n"/>
      <c r="Q97" t="b">
        <v>0</v>
      </c>
      <c r="R97" t="b">
        <v>0</v>
      </c>
      <c r="S97" t="inlineStr">
        <is>
          <t>3.7</t>
        </is>
      </c>
      <c r="T97" t="inlineStr">
        <is>
          <t>0.8825542857</t>
        </is>
      </c>
    </row>
    <row r="98">
      <c r="A98" t="n">
        <v>97</v>
      </c>
      <c r="B98" t="inlineStr">
        <is>
          <t>112</t>
        </is>
      </c>
      <c r="C98" t="inlineStr">
        <is>
          <t>Terraces</t>
        </is>
      </c>
      <c r="D98" t="inlineStr">
        <is>
          <t>grilled medetrranean vegetables</t>
        </is>
      </c>
      <c r="E98" t="inlineStr">
        <is>
          <t>TERRSIDE</t>
        </is>
      </c>
      <c r="F98" t="inlineStr">
        <is>
          <t>TERRSIDE03</t>
        </is>
      </c>
      <c r="G98" s="6" t="n">
        <v>5</v>
      </c>
      <c r="H98" s="6" t="n">
        <v>3.3</v>
      </c>
      <c r="I98" s="7" t="n">
        <v>1.65</v>
      </c>
      <c r="J98" s="7" t="n">
        <v>2.046</v>
      </c>
      <c r="K98" s="7" t="n">
        <v>0.495</v>
      </c>
      <c r="L98" s="8">
        <f>SUMIF(Recipe_Components!$A$2:$A$515,A98,Recipe_Components!$F$2:$F$515)</f>
        <v/>
      </c>
      <c r="M98" s="8">
        <f>IF(AND(K98&lt;&gt;"",L98&lt;&gt;""),L98-K98,"")</f>
        <v/>
      </c>
      <c r="N98" s="8">
        <f>IF(AND(G98&lt;&gt;"",H98&lt;&gt;""),G98-H98,"")</f>
        <v/>
      </c>
      <c r="O98" s="9">
        <f>IF(G98&gt;0,1-L98/G98,"")</f>
        <v/>
      </c>
      <c r="P98" s="10" t="n"/>
      <c r="Q98" t="b">
        <v>0</v>
      </c>
      <c r="R98" t="b">
        <v>0</v>
      </c>
      <c r="S98" t="inlineStr">
        <is>
          <t>1.7</t>
        </is>
      </c>
      <c r="T98" t="inlineStr">
        <is>
          <t>0.87724</t>
        </is>
      </c>
    </row>
    <row r="99">
      <c r="A99" t="n">
        <v>98</v>
      </c>
      <c r="B99" t="inlineStr">
        <is>
          <t>113</t>
        </is>
      </c>
      <c r="C99" t="inlineStr">
        <is>
          <t>Terraces</t>
        </is>
      </c>
      <c r="D99" t="inlineStr">
        <is>
          <t>eastern spiced rice</t>
        </is>
      </c>
      <c r="E99" t="inlineStr">
        <is>
          <t>TERRSIDE</t>
        </is>
      </c>
      <c r="F99" t="inlineStr">
        <is>
          <t>TERRSIDE04</t>
        </is>
      </c>
      <c r="G99" s="6" t="n">
        <v>5</v>
      </c>
      <c r="H99" s="6" t="n">
        <v>1.1</v>
      </c>
      <c r="I99" s="7" t="n">
        <v>0.4879090909</v>
      </c>
      <c r="J99" s="7" t="n">
        <v>0.6050072727</v>
      </c>
      <c r="K99" s="7" t="n">
        <v>0.1463727273</v>
      </c>
      <c r="L99" s="8">
        <f>SUMIF(Recipe_Components!$A$2:$A$515,A99,Recipe_Components!$F$2:$F$515)</f>
        <v/>
      </c>
      <c r="M99" s="8">
        <f>IF(AND(K99&lt;&gt;"",L99&lt;&gt;""),L99-K99,"")</f>
        <v/>
      </c>
      <c r="N99" s="8">
        <f>IF(AND(G99&lt;&gt;"",H99&lt;&gt;""),G99-H99,"")</f>
        <v/>
      </c>
      <c r="O99" s="9">
        <f>IF(G99&gt;0,1-L99/G99,"")</f>
        <v/>
      </c>
      <c r="P99" s="10" t="n"/>
      <c r="Q99" t="b">
        <v>0</v>
      </c>
      <c r="R99" t="b">
        <v>0</v>
      </c>
      <c r="S99" t="inlineStr">
        <is>
          <t>3.9</t>
        </is>
      </c>
      <c r="T99" t="inlineStr">
        <is>
          <t>0.9636995636</t>
        </is>
      </c>
    </row>
    <row r="100">
      <c r="A100" t="n">
        <v>99</v>
      </c>
      <c r="B100" t="inlineStr">
        <is>
          <t>114</t>
        </is>
      </c>
      <c r="C100" t="inlineStr">
        <is>
          <t>Terraces</t>
        </is>
      </c>
      <c r="D100" t="inlineStr">
        <is>
          <t>Mixed leaf salad</t>
        </is>
      </c>
      <c r="E100" t="inlineStr">
        <is>
          <t>TERRSIDE</t>
        </is>
      </c>
      <c r="F100" t="inlineStr">
        <is>
          <t>TERRSIDE05</t>
        </is>
      </c>
      <c r="G100" s="6" t="n"/>
      <c r="H100" s="6" t="n">
        <v>4.4</v>
      </c>
      <c r="I100" s="7" t="n">
        <v>3.16325</v>
      </c>
      <c r="J100" s="7" t="n">
        <v>3.92243</v>
      </c>
      <c r="K100" s="7" t="n">
        <v>0.948975</v>
      </c>
      <c r="L100" s="8">
        <f>SUMIF(Recipe_Components!$A$2:$A$515,A100,Recipe_Components!$F$2:$F$515)</f>
        <v/>
      </c>
      <c r="M100" s="8">
        <f>IF(AND(K100&lt;&gt;"",L100&lt;&gt;""),L100-K100,"")</f>
        <v/>
      </c>
      <c r="N100" s="8">
        <f>IF(AND(G100&lt;&gt;"",H100&lt;&gt;""),G100-H100,"")</f>
        <v/>
      </c>
      <c r="O100" s="9">
        <f>IF(G100&gt;0,1-L100/G100,"")</f>
        <v/>
      </c>
      <c r="P100" s="10" t="n"/>
      <c r="Q100" t="b">
        <v>0</v>
      </c>
      <c r="R100" t="b">
        <v>0</v>
      </c>
      <c r="S100" t="inlineStr">
        <is>
          <t>-4.4</t>
        </is>
      </c>
    </row>
    <row r="101">
      <c r="A101" t="n">
        <v>100</v>
      </c>
      <c r="B101" t="inlineStr">
        <is>
          <t>115</t>
        </is>
      </c>
      <c r="C101" t="inlineStr">
        <is>
          <t>Terraces</t>
        </is>
      </c>
      <c r="D101" t="inlineStr">
        <is>
          <t>Broccoli</t>
        </is>
      </c>
      <c r="E101" t="inlineStr"/>
      <c r="F101" t="inlineStr"/>
      <c r="G101" s="6" t="n"/>
      <c r="H101" s="6" t="n"/>
      <c r="I101" s="7" t="n"/>
      <c r="J101" s="7" t="n"/>
      <c r="K101" s="7" t="n"/>
      <c r="L101" s="8">
        <f>SUMIF(Recipe_Components!$A$2:$A$515,A101,Recipe_Components!$F$2:$F$515)</f>
        <v/>
      </c>
      <c r="M101" s="8">
        <f>IF(AND(K101&lt;&gt;"",L101&lt;&gt;""),L101-K101,"")</f>
        <v/>
      </c>
      <c r="N101" s="8">
        <f>IF(AND(G101&lt;&gt;"",H101&lt;&gt;""),G101-H101,"")</f>
        <v/>
      </c>
      <c r="O101" s="9">
        <f>IF(G101&gt;0,1-L101/G101,"")</f>
        <v/>
      </c>
      <c r="P101" s="10" t="n"/>
      <c r="Q101" t="b">
        <v>0</v>
      </c>
      <c r="R101" t="b">
        <v>0</v>
      </c>
      <c r="S101" t="inlineStr"/>
      <c r="T101" t="inlineStr"/>
    </row>
    <row r="102">
      <c r="A102" t="n">
        <v>101</v>
      </c>
      <c r="B102" t="inlineStr">
        <is>
          <t>116</t>
        </is>
      </c>
      <c r="C102" t="inlineStr">
        <is>
          <t>Terraces</t>
        </is>
      </c>
      <c r="D102" t="inlineStr">
        <is>
          <t>Green Slaw</t>
        </is>
      </c>
      <c r="E102" t="inlineStr">
        <is>
          <t>TERRSIDE</t>
        </is>
      </c>
      <c r="F102" t="inlineStr">
        <is>
          <t>TERRSIDE06</t>
        </is>
      </c>
      <c r="G102" s="6" t="n">
        <v>5</v>
      </c>
      <c r="H102" s="6" t="n">
        <v>0</v>
      </c>
      <c r="I102" s="7" t="n">
        <v>0</v>
      </c>
      <c r="J102" s="7" t="n">
        <v>0</v>
      </c>
      <c r="K102" s="7" t="n">
        <v>0</v>
      </c>
      <c r="L102" s="8">
        <f>SUMIF(Recipe_Components!$A$2:$A$515,A102,Recipe_Components!$F$2:$F$515)</f>
        <v/>
      </c>
      <c r="M102" s="8">
        <f>IF(AND(K102&lt;&gt;"",L102&lt;&gt;""),L102-K102,"")</f>
        <v/>
      </c>
      <c r="N102" s="8">
        <f>IF(AND(G102&lt;&gt;"",H102&lt;&gt;""),G102-H102,"")</f>
        <v/>
      </c>
      <c r="O102" s="9">
        <f>IF(G102&gt;0,1-L102/G102,"")</f>
        <v/>
      </c>
      <c r="P102" s="10" t="n"/>
      <c r="Q102" t="b">
        <v>0</v>
      </c>
      <c r="R102" t="b">
        <v>0</v>
      </c>
      <c r="S102" t="inlineStr">
        <is>
          <t>5</t>
        </is>
      </c>
      <c r="T102" t="inlineStr">
        <is>
          <t>1</t>
        </is>
      </c>
    </row>
    <row r="103">
      <c r="A103" t="n">
        <v>102</v>
      </c>
      <c r="B103" t="inlineStr">
        <is>
          <t>117</t>
        </is>
      </c>
      <c r="C103" t="inlineStr">
        <is>
          <t>Terraces</t>
        </is>
      </c>
      <c r="D103" t="inlineStr">
        <is>
          <t>Tenderstem Special</t>
        </is>
      </c>
      <c r="E103" t="inlineStr"/>
      <c r="F103" t="inlineStr"/>
      <c r="G103" s="6" t="n"/>
      <c r="H103" s="6" t="n"/>
      <c r="I103" s="7" t="n"/>
      <c r="J103" s="7" t="n"/>
      <c r="K103" s="7" t="n"/>
      <c r="L103" s="8">
        <f>SUMIF(Recipe_Components!$A$2:$A$515,A103,Recipe_Components!$F$2:$F$515)</f>
        <v/>
      </c>
      <c r="M103" s="8">
        <f>IF(AND(K103&lt;&gt;"",L103&lt;&gt;""),L103-K103,"")</f>
        <v/>
      </c>
      <c r="N103" s="8">
        <f>IF(AND(G103&lt;&gt;"",H103&lt;&gt;""),G103-H103,"")</f>
        <v/>
      </c>
      <c r="O103" s="9">
        <f>IF(G103&gt;0,1-L103/G103,"")</f>
        <v/>
      </c>
      <c r="P103" s="10" t="n"/>
      <c r="Q103" t="b">
        <v>0</v>
      </c>
      <c r="R103" t="b">
        <v>0</v>
      </c>
      <c r="S103" t="inlineStr"/>
      <c r="T103" t="inlineStr"/>
    </row>
    <row r="104">
      <c r="A104" t="n">
        <v>103</v>
      </c>
      <c r="B104" t="inlineStr">
        <is>
          <t>118</t>
        </is>
      </c>
      <c r="C104" t="inlineStr">
        <is>
          <t>Terraces</t>
        </is>
      </c>
      <c r="D104" t="inlineStr"/>
      <c r="E104" t="inlineStr"/>
      <c r="F104" t="inlineStr"/>
      <c r="G104" s="6" t="n"/>
      <c r="H104" s="6" t="n"/>
      <c r="I104" s="7" t="n"/>
      <c r="J104" s="7" t="n"/>
      <c r="K104" s="7" t="n"/>
      <c r="L104" s="8">
        <f>SUMIF(Recipe_Components!$A$2:$A$515,A104,Recipe_Components!$F$2:$F$515)</f>
        <v/>
      </c>
      <c r="M104" s="8">
        <f>IF(AND(K104&lt;&gt;"",L104&lt;&gt;""),L104-K104,"")</f>
        <v/>
      </c>
      <c r="N104" s="8">
        <f>IF(AND(G104&lt;&gt;"",H104&lt;&gt;""),G104-H104,"")</f>
        <v/>
      </c>
      <c r="O104" s="9">
        <f>IF(G104&gt;0,1-L104/G104,"")</f>
        <v/>
      </c>
      <c r="P104" s="10" t="n"/>
      <c r="Q104" t="b">
        <v>0</v>
      </c>
      <c r="R104" t="b">
        <v>0</v>
      </c>
      <c r="S104" t="inlineStr"/>
      <c r="T104" t="inlineStr"/>
    </row>
    <row r="105">
      <c r="A105" t="n">
        <v>104</v>
      </c>
      <c r="B105" t="inlineStr">
        <is>
          <t>119</t>
        </is>
      </c>
      <c r="C105" t="inlineStr">
        <is>
          <t>Terraces</t>
        </is>
      </c>
      <c r="D105" t="inlineStr">
        <is>
          <t>Margherita Pizza</t>
        </is>
      </c>
      <c r="E105" t="inlineStr">
        <is>
          <t>TERRPIZZA</t>
        </is>
      </c>
      <c r="F105" t="inlineStr">
        <is>
          <t>TERRPIZZA01</t>
        </is>
      </c>
      <c r="G105" s="6" t="n">
        <v>16</v>
      </c>
      <c r="H105" s="6" t="n">
        <v>18.7</v>
      </c>
      <c r="I105" s="7" t="n">
        <v>13.0318073</v>
      </c>
      <c r="J105" s="7" t="n">
        <v>16.15944106</v>
      </c>
      <c r="K105" s="7" t="n">
        <v>3.909542191</v>
      </c>
      <c r="L105" s="8">
        <f>SUMIF(Recipe_Components!$A$2:$A$515,A105,Recipe_Components!$F$2:$F$515)</f>
        <v/>
      </c>
      <c r="M105" s="8">
        <f>IF(AND(K105&lt;&gt;"",L105&lt;&gt;""),L105-K105,"")</f>
        <v/>
      </c>
      <c r="N105" s="8">
        <f>IF(AND(G105&lt;&gt;"",H105&lt;&gt;""),G105-H105,"")</f>
        <v/>
      </c>
      <c r="O105" s="9">
        <f>IF(G105&gt;0,1-L105/G105,"")</f>
        <v/>
      </c>
      <c r="P105" s="10" t="n"/>
      <c r="Q105" t="b">
        <v>0</v>
      </c>
      <c r="R105" t="b">
        <v>0</v>
      </c>
      <c r="S105" t="inlineStr">
        <is>
          <t>-2.7</t>
        </is>
      </c>
      <c r="T105" t="inlineStr">
        <is>
          <t>0.6970104802</t>
        </is>
      </c>
    </row>
    <row r="106">
      <c r="A106" t="n">
        <v>105</v>
      </c>
      <c r="B106" t="inlineStr">
        <is>
          <t>120</t>
        </is>
      </c>
      <c r="C106" t="inlineStr">
        <is>
          <t>Terraces</t>
        </is>
      </c>
      <c r="D106" t="inlineStr">
        <is>
          <t>Parma Ham Pizza</t>
        </is>
      </c>
      <c r="E106" t="inlineStr">
        <is>
          <t>TERRPIZZA</t>
        </is>
      </c>
      <c r="F106" t="inlineStr">
        <is>
          <t>TERRPIZZA02</t>
        </is>
      </c>
      <c r="G106" s="6" t="n"/>
      <c r="H106" s="6" t="n">
        <v>18.7</v>
      </c>
      <c r="I106" s="7" t="n">
        <v>13.37457397</v>
      </c>
      <c r="J106" s="7" t="n">
        <v>16.58447172</v>
      </c>
      <c r="K106" s="7" t="n">
        <v>4.012372191</v>
      </c>
      <c r="L106" s="8">
        <f>SUMIF(Recipe_Components!$A$2:$A$515,A106,Recipe_Components!$F$2:$F$515)</f>
        <v/>
      </c>
      <c r="M106" s="8">
        <f>IF(AND(K106&lt;&gt;"",L106&lt;&gt;""),L106-K106,"")</f>
        <v/>
      </c>
      <c r="N106" s="8">
        <f>IF(AND(G106&lt;&gt;"",H106&lt;&gt;""),G106-H106,"")</f>
        <v/>
      </c>
      <c r="O106" s="9">
        <f>IF(G106&gt;0,1-L106/G106,"")</f>
        <v/>
      </c>
      <c r="P106" s="10" t="n"/>
      <c r="Q106" t="b">
        <v>0</v>
      </c>
      <c r="R106" t="b">
        <v>0</v>
      </c>
      <c r="S106" t="inlineStr">
        <is>
          <t>-18.7</t>
        </is>
      </c>
    </row>
    <row r="107">
      <c r="A107" t="n">
        <v>106</v>
      </c>
      <c r="B107" t="inlineStr">
        <is>
          <t>121</t>
        </is>
      </c>
      <c r="C107" t="inlineStr">
        <is>
          <t>Terraces</t>
        </is>
      </c>
      <c r="D107" t="inlineStr">
        <is>
          <t>Mediterranean Veg pizza</t>
        </is>
      </c>
      <c r="E107" t="inlineStr">
        <is>
          <t>TERRPIZZA</t>
        </is>
      </c>
      <c r="F107" t="inlineStr">
        <is>
          <t>TERRPIZZA03</t>
        </is>
      </c>
      <c r="G107" s="6" t="n">
        <v>16</v>
      </c>
      <c r="H107" s="6" t="n">
        <v>15.4</v>
      </c>
      <c r="I107" s="7" t="n">
        <v>11.11997397</v>
      </c>
      <c r="J107" s="7" t="n">
        <v>13.78876772</v>
      </c>
      <c r="K107" s="7" t="n">
        <v>3.335992191</v>
      </c>
      <c r="L107" s="8">
        <f>SUMIF(Recipe_Components!$A$2:$A$515,A107,Recipe_Components!$F$2:$F$515)</f>
        <v/>
      </c>
      <c r="M107" s="8">
        <f>IF(AND(K107&lt;&gt;"",L107&lt;&gt;""),L107-K107,"")</f>
        <v/>
      </c>
      <c r="N107" s="8">
        <f>IF(AND(G107&lt;&gt;"",H107&lt;&gt;""),G107-H107,"")</f>
        <v/>
      </c>
      <c r="O107" s="9">
        <f>IF(G107&gt;0,1-L107/G107,"")</f>
        <v/>
      </c>
      <c r="P107" s="10" t="n"/>
      <c r="Q107" t="b">
        <v>0</v>
      </c>
      <c r="R107" t="b">
        <v>0</v>
      </c>
      <c r="S107" t="inlineStr">
        <is>
          <t>0.6</t>
        </is>
      </c>
      <c r="T107" t="inlineStr">
        <is>
          <t>0.7414606052</t>
        </is>
      </c>
    </row>
    <row r="108">
      <c r="A108" t="n">
        <v>107</v>
      </c>
      <c r="B108" t="inlineStr">
        <is>
          <t>122</t>
        </is>
      </c>
      <c r="C108" t="inlineStr">
        <is>
          <t>Terraces</t>
        </is>
      </c>
      <c r="D108" t="inlineStr">
        <is>
          <t>Pepperoni pizza</t>
        </is>
      </c>
      <c r="E108" t="inlineStr">
        <is>
          <t>TERRPIZZA</t>
        </is>
      </c>
      <c r="F108" t="inlineStr">
        <is>
          <t>TERRPIZZA04</t>
        </is>
      </c>
      <c r="G108" s="6" t="n"/>
      <c r="H108" s="6" t="n">
        <v>17.6</v>
      </c>
      <c r="I108" s="7" t="n">
        <v>12.3893073</v>
      </c>
      <c r="J108" s="7" t="n">
        <v>15.36274106</v>
      </c>
      <c r="K108" s="7" t="n">
        <v>3.716792191</v>
      </c>
      <c r="L108" s="8">
        <f>SUMIF(Recipe_Components!$A$2:$A$515,A108,Recipe_Components!$F$2:$F$515)</f>
        <v/>
      </c>
      <c r="M108" s="8">
        <f>IF(AND(K108&lt;&gt;"",L108&lt;&gt;""),L108-K108,"")</f>
        <v/>
      </c>
      <c r="N108" s="8">
        <f>IF(AND(G108&lt;&gt;"",H108&lt;&gt;""),G108-H108,"")</f>
        <v/>
      </c>
      <c r="O108" s="9">
        <f>IF(G108&gt;0,1-L108/G108,"")</f>
        <v/>
      </c>
      <c r="P108" s="10" t="n"/>
      <c r="Q108" t="b">
        <v>0</v>
      </c>
      <c r="R108" t="b">
        <v>0</v>
      </c>
      <c r="S108" t="inlineStr">
        <is>
          <t>-17.6</t>
        </is>
      </c>
    </row>
    <row r="109">
      <c r="A109" t="n">
        <v>108</v>
      </c>
      <c r="B109" t="inlineStr">
        <is>
          <t>123</t>
        </is>
      </c>
      <c r="C109" t="inlineStr">
        <is>
          <t>Terraces</t>
        </is>
      </c>
      <c r="D109" t="inlineStr">
        <is>
          <t>Spicy Sausage Pizza</t>
        </is>
      </c>
      <c r="E109" t="inlineStr">
        <is>
          <t>TERRPIZZA</t>
        </is>
      </c>
      <c r="F109" t="inlineStr">
        <is>
          <t>TERRPIZZA05</t>
        </is>
      </c>
      <c r="G109" s="6" t="n">
        <v>18</v>
      </c>
      <c r="H109" s="6" t="n">
        <v>15.4</v>
      </c>
      <c r="I109" s="7" t="n">
        <v>10.60272064</v>
      </c>
      <c r="J109" s="7" t="n">
        <v>13.14737359</v>
      </c>
      <c r="K109" s="7" t="n">
        <v>3.180816191</v>
      </c>
      <c r="L109" s="8">
        <f>SUMIF(Recipe_Components!$A$2:$A$515,A109,Recipe_Components!$F$2:$F$515)</f>
        <v/>
      </c>
      <c r="M109" s="8">
        <f>IF(AND(K109&lt;&gt;"",L109&lt;&gt;""),L109-K109,"")</f>
        <v/>
      </c>
      <c r="N109" s="8">
        <f>IF(AND(G109&lt;&gt;"",H109&lt;&gt;""),G109-H109,"")</f>
        <v/>
      </c>
      <c r="O109" s="9">
        <f>IF(G109&gt;0,1-L109/G109,"")</f>
        <v/>
      </c>
      <c r="P109" s="10" t="n"/>
      <c r="S109" t="inlineStr">
        <is>
          <t>2.6</t>
        </is>
      </c>
      <c r="T109" t="inlineStr">
        <is>
          <t>0.7808771069</t>
        </is>
      </c>
    </row>
    <row r="110">
      <c r="A110" t="n">
        <v>109</v>
      </c>
      <c r="B110" t="inlineStr">
        <is>
          <t>124</t>
        </is>
      </c>
      <c r="C110" t="inlineStr">
        <is>
          <t>Terraces</t>
        </is>
      </c>
      <c r="D110" t="inlineStr">
        <is>
          <t>Salami Pizza</t>
        </is>
      </c>
      <c r="E110" t="inlineStr">
        <is>
          <t>TERRPIZZA</t>
        </is>
      </c>
      <c r="F110" t="inlineStr">
        <is>
          <t>TERRPIZZA06</t>
        </is>
      </c>
      <c r="G110" s="6" t="n">
        <v>18</v>
      </c>
      <c r="H110" s="6" t="n">
        <v>14.3</v>
      </c>
      <c r="I110" s="7" t="n">
        <v>10.1093073</v>
      </c>
      <c r="J110" s="7" t="n">
        <v>12.53554106</v>
      </c>
      <c r="K110" s="7" t="n">
        <v>3.032792191</v>
      </c>
      <c r="L110" s="8">
        <f>SUMIF(Recipe_Components!$A$2:$A$515,A110,Recipe_Components!$F$2:$F$515)</f>
        <v/>
      </c>
      <c r="M110" s="8">
        <f>IF(AND(K110&lt;&gt;"",L110&lt;&gt;""),L110-K110,"")</f>
        <v/>
      </c>
      <c r="N110" s="8">
        <f>IF(AND(G110&lt;&gt;"",H110&lt;&gt;""),G110-H110,"")</f>
        <v/>
      </c>
      <c r="O110" s="9">
        <f>IF(G110&gt;0,1-L110/G110,"")</f>
        <v/>
      </c>
      <c r="P110" s="10" t="n"/>
      <c r="S110" t="inlineStr">
        <is>
          <t>3.7</t>
        </is>
      </c>
      <c r="T110" t="inlineStr">
        <is>
          <t>0.7910743157</t>
        </is>
      </c>
    </row>
    <row r="111">
      <c r="A111" t="n">
        <v>110</v>
      </c>
      <c r="B111" t="inlineStr">
        <is>
          <t>126</t>
        </is>
      </c>
      <c r="C111" t="inlineStr">
        <is>
          <t>Terraces</t>
        </is>
      </c>
      <c r="D111" t="inlineStr">
        <is>
          <t>Greek yohurt and honey</t>
        </is>
      </c>
      <c r="E111" t="inlineStr">
        <is>
          <t>TERRDESSERT</t>
        </is>
      </c>
      <c r="F111" t="inlineStr">
        <is>
          <t>TERRDESSERT01</t>
        </is>
      </c>
      <c r="G111" s="6" t="n"/>
      <c r="H111" s="6" t="n">
        <v>4.4</v>
      </c>
      <c r="I111" s="7" t="n">
        <v>2.53</v>
      </c>
      <c r="J111" s="7" t="n">
        <v>3.1372</v>
      </c>
      <c r="K111" s="7" t="n">
        <v>0.759</v>
      </c>
      <c r="L111" s="8">
        <f>SUMIF(Recipe_Components!$A$2:$A$515,A111,Recipe_Components!$F$2:$F$515)</f>
        <v/>
      </c>
      <c r="M111" s="8">
        <f>IF(AND(K111&lt;&gt;"",L111&lt;&gt;""),L111-K111,"")</f>
        <v/>
      </c>
      <c r="N111" s="8">
        <f>IF(AND(G111&lt;&gt;"",H111&lt;&gt;""),G111-H111,"")</f>
        <v/>
      </c>
      <c r="O111" s="9">
        <f>IF(G111&gt;0,1-L111/G111,"")</f>
        <v/>
      </c>
      <c r="P111" s="10" t="n"/>
      <c r="Q111" t="b">
        <v>0</v>
      </c>
      <c r="R111" t="b">
        <v>0</v>
      </c>
      <c r="S111" t="inlineStr">
        <is>
          <t>-4.4</t>
        </is>
      </c>
    </row>
    <row r="112">
      <c r="A112" t="n">
        <v>111</v>
      </c>
      <c r="B112" t="inlineStr">
        <is>
          <t>127</t>
        </is>
      </c>
      <c r="C112" t="inlineStr">
        <is>
          <t>Terraces</t>
        </is>
      </c>
      <c r="D112" t="inlineStr">
        <is>
          <t>Lemon Posset</t>
        </is>
      </c>
      <c r="E112" t="inlineStr">
        <is>
          <t>TERRDESSERT</t>
        </is>
      </c>
      <c r="F112" t="inlineStr">
        <is>
          <t>TERRDESSERT02</t>
        </is>
      </c>
      <c r="G112" s="6" t="n">
        <v>7</v>
      </c>
      <c r="H112" s="6" t="n">
        <v>3.3</v>
      </c>
      <c r="I112" s="7" t="n">
        <v>2.401458333</v>
      </c>
      <c r="J112" s="7" t="n">
        <v>2.977808333</v>
      </c>
      <c r="K112" s="7" t="n">
        <v>0.7204375</v>
      </c>
      <c r="L112" s="8">
        <f>SUMIF(Recipe_Components!$A$2:$A$515,A112,Recipe_Components!$F$2:$F$515)</f>
        <v/>
      </c>
      <c r="M112" s="8">
        <f>IF(AND(K112&lt;&gt;"",L112&lt;&gt;""),L112-K112,"")</f>
        <v/>
      </c>
      <c r="N112" s="8">
        <f>IF(AND(G112&lt;&gt;"",H112&lt;&gt;""),G112-H112,"")</f>
        <v/>
      </c>
      <c r="O112" s="9">
        <f>IF(G112&gt;0,1-L112/G112,"")</f>
        <v/>
      </c>
      <c r="P112" s="10" t="n"/>
      <c r="Q112" t="b">
        <v>0</v>
      </c>
      <c r="R112" t="b">
        <v>0</v>
      </c>
      <c r="S112" t="inlineStr">
        <is>
          <t>3.7</t>
        </is>
      </c>
      <c r="T112" t="inlineStr">
        <is>
          <t>0.8723796429</t>
        </is>
      </c>
    </row>
    <row r="113">
      <c r="A113" t="n">
        <v>112</v>
      </c>
      <c r="B113" t="inlineStr">
        <is>
          <t>128</t>
        </is>
      </c>
      <c r="C113" t="inlineStr">
        <is>
          <t>Terraces</t>
        </is>
      </c>
      <c r="D113" t="inlineStr">
        <is>
          <t>Tiramasu</t>
        </is>
      </c>
      <c r="E113" t="inlineStr">
        <is>
          <t>TERRDESSERT</t>
        </is>
      </c>
      <c r="F113" t="inlineStr">
        <is>
          <t>TERRDESSERT03</t>
        </is>
      </c>
      <c r="G113" s="6" t="n">
        <v>8.5</v>
      </c>
      <c r="H113" s="6" t="n">
        <v>7.7</v>
      </c>
      <c r="I113" s="7" t="n">
        <v>5.050504436</v>
      </c>
      <c r="J113" s="7" t="n">
        <v>6.262625501</v>
      </c>
      <c r="K113" s="7" t="n">
        <v>1.515151331</v>
      </c>
      <c r="L113" s="8">
        <f>SUMIF(Recipe_Components!$A$2:$A$515,A113,Recipe_Components!$F$2:$F$515)</f>
        <v/>
      </c>
      <c r="M113" s="8">
        <f>IF(AND(K113&lt;&gt;"",L113&lt;&gt;""),L113-K113,"")</f>
        <v/>
      </c>
      <c r="N113" s="8">
        <f>IF(AND(G113&lt;&gt;"",H113&lt;&gt;""),G113-H113,"")</f>
        <v/>
      </c>
      <c r="O113" s="9">
        <f>IF(G113&gt;0,1-L113/G113,"")</f>
        <v/>
      </c>
      <c r="P113" s="10" t="n"/>
      <c r="Q113" t="b">
        <v>0</v>
      </c>
      <c r="R113" t="b">
        <v>0</v>
      </c>
      <c r="S113" t="inlineStr">
        <is>
          <t>0.8</t>
        </is>
      </c>
      <c r="T113" t="inlineStr">
        <is>
          <t>0.7789661588</t>
        </is>
      </c>
    </row>
    <row r="114">
      <c r="A114" t="n">
        <v>113</v>
      </c>
      <c r="B114" t="inlineStr">
        <is>
          <t>129</t>
        </is>
      </c>
      <c r="C114" t="inlineStr">
        <is>
          <t>Terraces</t>
        </is>
      </c>
      <c r="D114" t="inlineStr">
        <is>
          <t>Chocolate brownie</t>
        </is>
      </c>
      <c r="E114" t="inlineStr">
        <is>
          <t>TERRDESSERT</t>
        </is>
      </c>
      <c r="F114" t="inlineStr">
        <is>
          <t>TERRDESSERT04</t>
        </is>
      </c>
      <c r="G114" s="6" t="n"/>
      <c r="H114" s="6" t="n">
        <v>5.5</v>
      </c>
      <c r="I114" s="7" t="n">
        <v>3.900138889</v>
      </c>
      <c r="J114" s="7" t="n">
        <v>4.836172222</v>
      </c>
      <c r="K114" s="7" t="n">
        <v>1.170041667</v>
      </c>
      <c r="L114" s="8">
        <f>SUMIF(Recipe_Components!$A$2:$A$515,A114,Recipe_Components!$F$2:$F$515)</f>
        <v/>
      </c>
      <c r="M114" s="8">
        <f>IF(AND(K114&lt;&gt;"",L114&lt;&gt;""),L114-K114,"")</f>
        <v/>
      </c>
      <c r="N114" s="8">
        <f>IF(AND(G114&lt;&gt;"",H114&lt;&gt;""),G114-H114,"")</f>
        <v/>
      </c>
      <c r="O114" s="9">
        <f>IF(G114&gt;0,1-L114/G114,"")</f>
        <v/>
      </c>
      <c r="P114" s="10" t="n"/>
      <c r="Q114" t="b">
        <v>0</v>
      </c>
      <c r="R114" t="b">
        <v>0</v>
      </c>
      <c r="S114" t="inlineStr">
        <is>
          <t>-5.5</t>
        </is>
      </c>
    </row>
    <row r="115">
      <c r="A115" t="n">
        <v>114</v>
      </c>
      <c r="B115" t="inlineStr">
        <is>
          <t>130</t>
        </is>
      </c>
      <c r="C115" t="inlineStr">
        <is>
          <t>Terraces</t>
        </is>
      </c>
      <c r="D115" t="inlineStr">
        <is>
          <t>Watermelon slices</t>
        </is>
      </c>
      <c r="E115" t="inlineStr">
        <is>
          <t>TERRDESSERT</t>
        </is>
      </c>
      <c r="F115" t="inlineStr">
        <is>
          <t>TERRDESSERT05</t>
        </is>
      </c>
      <c r="G115" s="6" t="n"/>
      <c r="H115" s="6" t="n">
        <v>1.1</v>
      </c>
      <c r="I115" s="7" t="n">
        <v>0.4333333333</v>
      </c>
      <c r="J115" s="7" t="n">
        <v>0.5373333333</v>
      </c>
      <c r="K115" s="7" t="n">
        <v>0.13</v>
      </c>
      <c r="L115" s="8">
        <f>SUMIF(Recipe_Components!$A$2:$A$515,A115,Recipe_Components!$F$2:$F$515)</f>
        <v/>
      </c>
      <c r="M115" s="8">
        <f>IF(AND(K115&lt;&gt;"",L115&lt;&gt;""),L115-K115,"")</f>
        <v/>
      </c>
      <c r="N115" s="8">
        <f>IF(AND(G115&lt;&gt;"",H115&lt;&gt;""),G115-H115,"")</f>
        <v/>
      </c>
      <c r="O115" s="9">
        <f>IF(G115&gt;0,1-L115/G115,"")</f>
        <v/>
      </c>
      <c r="P115" s="10" t="n"/>
      <c r="Q115" t="b">
        <v>0</v>
      </c>
      <c r="R115" t="b">
        <v>0</v>
      </c>
      <c r="S115" t="inlineStr">
        <is>
          <t>-1.1</t>
        </is>
      </c>
    </row>
    <row r="116">
      <c r="A116" t="n">
        <v>115</v>
      </c>
      <c r="B116" t="inlineStr">
        <is>
          <t>131</t>
        </is>
      </c>
      <c r="C116" t="inlineStr">
        <is>
          <t>Terraces</t>
        </is>
      </c>
      <c r="D116" t="inlineStr">
        <is>
          <t>Afogato</t>
        </is>
      </c>
      <c r="E116" t="inlineStr"/>
      <c r="F116" t="inlineStr"/>
      <c r="G116" s="6" t="n"/>
      <c r="H116" s="6" t="n">
        <v>0</v>
      </c>
      <c r="I116" s="7" t="n">
        <v>0</v>
      </c>
      <c r="J116" s="7" t="n">
        <v>0</v>
      </c>
      <c r="K116" s="7" t="n">
        <v>0</v>
      </c>
      <c r="L116" s="8">
        <f>SUMIF(Recipe_Components!$A$2:$A$515,A116,Recipe_Components!$F$2:$F$515)</f>
        <v/>
      </c>
      <c r="M116" s="8">
        <f>IF(AND(K116&lt;&gt;"",L116&lt;&gt;""),L116-K116,"")</f>
        <v/>
      </c>
      <c r="N116" s="8">
        <f>IF(AND(G116&lt;&gt;"",H116&lt;&gt;""),G116-H116,"")</f>
        <v/>
      </c>
      <c r="O116" s="9">
        <f>IF(G116&gt;0,1-L116/G116,"")</f>
        <v/>
      </c>
      <c r="P116" s="10" t="n"/>
      <c r="Q116" t="b">
        <v>0</v>
      </c>
      <c r="R116" t="b">
        <v>0</v>
      </c>
      <c r="S116" t="inlineStr"/>
    </row>
    <row r="117">
      <c r="A117" t="n">
        <v>116</v>
      </c>
      <c r="B117" t="inlineStr">
        <is>
          <t>133</t>
        </is>
      </c>
      <c r="C117" t="inlineStr">
        <is>
          <t>Mikro Nisi</t>
        </is>
      </c>
      <c r="D117" t="inlineStr">
        <is>
          <t>Bread and Dips</t>
        </is>
      </c>
      <c r="E117" t="inlineStr">
        <is>
          <t>MNSMALL</t>
        </is>
      </c>
      <c r="F117" t="inlineStr">
        <is>
          <t>MNSMALL01</t>
        </is>
      </c>
      <c r="G117" s="6" t="n">
        <v>12</v>
      </c>
      <c r="H117" s="6" t="n">
        <v>4.4</v>
      </c>
      <c r="I117" s="7" t="n">
        <v>2.909102635</v>
      </c>
      <c r="J117" s="7" t="n">
        <v>3.607287267</v>
      </c>
      <c r="K117" s="7" t="n">
        <v>0.8727307905</v>
      </c>
      <c r="L117" s="8">
        <f>SUMIF(Recipe_Components!$A$2:$A$515,A117,Recipe_Components!$F$2:$F$515)</f>
        <v/>
      </c>
      <c r="M117" s="8">
        <f>IF(AND(K117&lt;&gt;"",L117&lt;&gt;""),L117-K117,"")</f>
        <v/>
      </c>
      <c r="N117" s="8">
        <f>IF(AND(G117&lt;&gt;"",H117&lt;&gt;""),G117-H117,"")</f>
        <v/>
      </c>
      <c r="O117" s="9">
        <f>IF(G117&gt;0,1-L117/G117,"")</f>
        <v/>
      </c>
      <c r="P117" s="10" t="n"/>
      <c r="Q117" t="b">
        <v>0</v>
      </c>
      <c r="R117" t="b">
        <v>0</v>
      </c>
      <c r="S117" t="inlineStr">
        <is>
          <t>7.6</t>
        </is>
      </c>
      <c r="T117" t="inlineStr">
        <is>
          <t>0.9098178183</t>
        </is>
      </c>
    </row>
    <row r="118">
      <c r="A118" t="n">
        <v>117</v>
      </c>
      <c r="B118" t="inlineStr">
        <is>
          <t>134</t>
        </is>
      </c>
      <c r="C118" t="inlineStr">
        <is>
          <t>Mikro Nisi</t>
        </is>
      </c>
      <c r="D118" t="inlineStr">
        <is>
          <t>Local anchovies on toast</t>
        </is>
      </c>
      <c r="E118" t="inlineStr">
        <is>
          <t>MNSMALL</t>
        </is>
      </c>
      <c r="F118" t="inlineStr">
        <is>
          <t>MNSMALL02</t>
        </is>
      </c>
      <c r="G118" s="6" t="n"/>
      <c r="H118" s="6" t="n">
        <v>0</v>
      </c>
      <c r="I118" s="7" t="n">
        <v>0</v>
      </c>
      <c r="J118" s="7" t="n">
        <v>0</v>
      </c>
      <c r="K118" s="7" t="n">
        <v>0</v>
      </c>
      <c r="L118" s="8">
        <f>SUMIF(Recipe_Components!$A$2:$A$515,A118,Recipe_Components!$F$2:$F$515)</f>
        <v/>
      </c>
      <c r="M118" s="8">
        <f>IF(AND(K118&lt;&gt;"",L118&lt;&gt;""),L118-K118,"")</f>
        <v/>
      </c>
      <c r="N118" s="8">
        <f>IF(AND(G118&lt;&gt;"",H118&lt;&gt;""),G118-H118,"")</f>
        <v/>
      </c>
      <c r="O118" s="9">
        <f>IF(G118&gt;0,1-L118/G118,"")</f>
        <v/>
      </c>
      <c r="P118" s="10" t="n"/>
      <c r="Q118" t="b">
        <v>0</v>
      </c>
      <c r="R118" t="b">
        <v>0</v>
      </c>
      <c r="S118" t="inlineStr">
        <is>
          <t>0</t>
        </is>
      </c>
    </row>
    <row r="119">
      <c r="A119" t="n">
        <v>118</v>
      </c>
      <c r="B119" t="inlineStr">
        <is>
          <t>135</t>
        </is>
      </c>
      <c r="C119" t="inlineStr">
        <is>
          <t>Mikro Nisi</t>
        </is>
      </c>
      <c r="D119" t="inlineStr">
        <is>
          <t>Marinated lamb Chops</t>
        </is>
      </c>
      <c r="E119" t="inlineStr">
        <is>
          <t>MNSMALL</t>
        </is>
      </c>
      <c r="F119" t="inlineStr">
        <is>
          <t>MNSMALL03</t>
        </is>
      </c>
      <c r="G119" s="6" t="n"/>
      <c r="H119" s="6" t="n">
        <v>0</v>
      </c>
      <c r="I119" s="7" t="n">
        <v>0</v>
      </c>
      <c r="J119" s="7" t="n">
        <v>0</v>
      </c>
      <c r="K119" s="7" t="n">
        <v>0</v>
      </c>
      <c r="L119" s="8">
        <f>SUMIF(Recipe_Components!$A$2:$A$515,A119,Recipe_Components!$F$2:$F$515)</f>
        <v/>
      </c>
      <c r="M119" s="8">
        <f>IF(AND(K119&lt;&gt;"",L119&lt;&gt;""),L119-K119,"")</f>
        <v/>
      </c>
      <c r="N119" s="8">
        <f>IF(AND(G119&lt;&gt;"",H119&lt;&gt;""),G119-H119,"")</f>
        <v/>
      </c>
      <c r="O119" s="9">
        <f>IF(G119&gt;0,1-L119/G119,"")</f>
        <v/>
      </c>
      <c r="P119" s="10" t="n"/>
      <c r="Q119" t="b">
        <v>0</v>
      </c>
      <c r="R119" t="b">
        <v>0</v>
      </c>
      <c r="S119" t="inlineStr">
        <is>
          <t>0</t>
        </is>
      </c>
    </row>
    <row r="120">
      <c r="A120" t="n">
        <v>119</v>
      </c>
      <c r="B120" t="inlineStr">
        <is>
          <t>136</t>
        </is>
      </c>
      <c r="C120" t="inlineStr">
        <is>
          <t>Mikro Nisi</t>
        </is>
      </c>
      <c r="D120" t="inlineStr">
        <is>
          <t>King prawns garlic and chili, white wine and olive oil</t>
        </is>
      </c>
      <c r="E120" t="inlineStr">
        <is>
          <t>MNSMALL</t>
        </is>
      </c>
      <c r="F120" t="inlineStr">
        <is>
          <t>MNSMALL04</t>
        </is>
      </c>
      <c r="G120" s="6" t="n">
        <v>18</v>
      </c>
      <c r="H120" s="6" t="n">
        <v>15.4</v>
      </c>
      <c r="I120" s="7" t="n">
        <v>11.14</v>
      </c>
      <c r="J120" s="7" t="n">
        <v>13.8136</v>
      </c>
      <c r="K120" s="7" t="n">
        <v>3.342</v>
      </c>
      <c r="L120" s="8">
        <f>SUMIF(Recipe_Components!$A$2:$A$515,A120,Recipe_Components!$F$2:$F$515)</f>
        <v/>
      </c>
      <c r="M120" s="8">
        <f>IF(AND(K120&lt;&gt;"",L120&lt;&gt;""),L120-K120,"")</f>
        <v/>
      </c>
      <c r="N120" s="8">
        <f>IF(AND(G120&lt;&gt;"",H120&lt;&gt;""),G120-H120,"")</f>
        <v/>
      </c>
      <c r="O120" s="9">
        <f>IF(G120&gt;0,1-L120/G120,"")</f>
        <v/>
      </c>
      <c r="P120" s="10" t="n"/>
      <c r="Q120" t="b">
        <v>0</v>
      </c>
      <c r="R120" t="b">
        <v>0</v>
      </c>
      <c r="S120" t="inlineStr">
        <is>
          <t>2.6</t>
        </is>
      </c>
      <c r="T120" t="inlineStr">
        <is>
          <t>0.7697733333</t>
        </is>
      </c>
    </row>
    <row r="121">
      <c r="A121" t="n">
        <v>120</v>
      </c>
      <c r="B121" t="inlineStr">
        <is>
          <t>137</t>
        </is>
      </c>
      <c r="C121" t="inlineStr">
        <is>
          <t>Mikro Nisi</t>
        </is>
      </c>
      <c r="D121" t="inlineStr">
        <is>
          <t>Feta kataifi, honey and thyme</t>
        </is>
      </c>
      <c r="E121" t="inlineStr">
        <is>
          <t>MNSMALL</t>
        </is>
      </c>
      <c r="F121" t="inlineStr">
        <is>
          <t>MNSMALL05</t>
        </is>
      </c>
      <c r="G121" s="6" t="n">
        <v>12</v>
      </c>
      <c r="H121" s="6" t="n">
        <v>8.800000000000001</v>
      </c>
      <c r="I121" s="7" t="n">
        <v>5.882393333</v>
      </c>
      <c r="J121" s="7" t="n">
        <v>7.294167733</v>
      </c>
      <c r="K121" s="7" t="n">
        <v>1.764718</v>
      </c>
      <c r="L121" s="8">
        <f>SUMIF(Recipe_Components!$A$2:$A$515,A121,Recipe_Components!$F$2:$F$515)</f>
        <v/>
      </c>
      <c r="M121" s="8">
        <f>IF(AND(K121&lt;&gt;"",L121&lt;&gt;""),L121-K121,"")</f>
        <v/>
      </c>
      <c r="N121" s="8">
        <f>IF(AND(G121&lt;&gt;"",H121&lt;&gt;""),G121-H121,"")</f>
        <v/>
      </c>
      <c r="O121" s="9">
        <f>IF(G121&gt;0,1-L121/G121,"")</f>
        <v/>
      </c>
      <c r="P121" s="10" t="n"/>
      <c r="Q121" t="b">
        <v>0</v>
      </c>
      <c r="R121" t="b">
        <v>0</v>
      </c>
      <c r="S121" t="inlineStr">
        <is>
          <t>3.2</t>
        </is>
      </c>
      <c r="T121" t="inlineStr">
        <is>
          <t>0.8176458067</t>
        </is>
      </c>
    </row>
    <row r="122">
      <c r="A122" t="n">
        <v>121</v>
      </c>
      <c r="B122" t="inlineStr">
        <is>
          <t>139</t>
        </is>
      </c>
      <c r="C122" t="inlineStr">
        <is>
          <t>Mikro Nisi</t>
        </is>
      </c>
      <c r="D122" t="inlineStr">
        <is>
          <t>Greek meatballs, tomato sauce</t>
        </is>
      </c>
      <c r="E122" t="inlineStr">
        <is>
          <t>MNSMALL</t>
        </is>
      </c>
      <c r="F122" t="inlineStr">
        <is>
          <t>MNSMALL06</t>
        </is>
      </c>
      <c r="G122" s="6" t="n">
        <v>12</v>
      </c>
      <c r="H122" s="6" t="n">
        <v>2.2</v>
      </c>
      <c r="I122" s="7" t="n">
        <v>0.9021666667</v>
      </c>
      <c r="J122" s="7" t="n">
        <v>1.118686667</v>
      </c>
      <c r="K122" s="7" t="n">
        <v>0.27065</v>
      </c>
      <c r="L122" s="8">
        <f>SUMIF(Recipe_Components!$A$2:$A$515,A122,Recipe_Components!$F$2:$F$515)</f>
        <v/>
      </c>
      <c r="M122" s="8">
        <f>IF(AND(K122&lt;&gt;"",L122&lt;&gt;""),L122-K122,"")</f>
        <v/>
      </c>
      <c r="N122" s="8">
        <f>IF(AND(G122&lt;&gt;"",H122&lt;&gt;""),G122-H122,"")</f>
        <v/>
      </c>
      <c r="O122" s="9">
        <f>IF(G122&gt;0,1-L122/G122,"")</f>
        <v/>
      </c>
      <c r="P122" s="10" t="n"/>
      <c r="Q122" t="b">
        <v>0</v>
      </c>
      <c r="R122" t="b">
        <v>0</v>
      </c>
      <c r="S122" t="inlineStr">
        <is>
          <t>9.8</t>
        </is>
      </c>
      <c r="T122" t="inlineStr">
        <is>
          <t>0.9720328333</t>
        </is>
      </c>
    </row>
    <row r="123">
      <c r="A123" t="n">
        <v>122</v>
      </c>
      <c r="B123" t="inlineStr">
        <is>
          <t>140</t>
        </is>
      </c>
      <c r="C123" t="inlineStr">
        <is>
          <t>Mikro Nisi</t>
        </is>
      </c>
      <c r="D123" t="inlineStr">
        <is>
          <t>Village sausage, onions and peppers</t>
        </is>
      </c>
      <c r="E123" t="inlineStr">
        <is>
          <t>MNSMALL</t>
        </is>
      </c>
      <c r="F123" t="inlineStr">
        <is>
          <t>MNSMALL07</t>
        </is>
      </c>
      <c r="G123" s="6" t="n">
        <v>12</v>
      </c>
      <c r="H123" s="6" t="n">
        <v>9.9</v>
      </c>
      <c r="I123" s="7" t="n">
        <v>6.665466667</v>
      </c>
      <c r="J123" s="7" t="n">
        <v>8.265178667000001</v>
      </c>
      <c r="K123" s="7" t="n">
        <v>1.99964</v>
      </c>
      <c r="L123" s="8">
        <f>SUMIF(Recipe_Components!$A$2:$A$515,A123,Recipe_Components!$F$2:$F$515)</f>
        <v/>
      </c>
      <c r="M123" s="8">
        <f>IF(AND(K123&lt;&gt;"",L123&lt;&gt;""),L123-K123,"")</f>
        <v/>
      </c>
      <c r="N123" s="8">
        <f>IF(AND(G123&lt;&gt;"",H123&lt;&gt;""),G123-H123,"")</f>
        <v/>
      </c>
      <c r="O123" s="9">
        <f>IF(G123&gt;0,1-L123/G123,"")</f>
        <v/>
      </c>
      <c r="P123" s="10" t="n"/>
      <c r="Q123" t="b">
        <v>0</v>
      </c>
      <c r="R123" t="b">
        <v>0</v>
      </c>
      <c r="S123" t="inlineStr">
        <is>
          <t>2.1</t>
        </is>
      </c>
      <c r="T123" t="inlineStr">
        <is>
          <t>0.7933705333</t>
        </is>
      </c>
    </row>
    <row r="124">
      <c r="A124" t="n">
        <v>123</v>
      </c>
      <c r="B124" t="inlineStr">
        <is>
          <t>141</t>
        </is>
      </c>
      <c r="C124" t="inlineStr">
        <is>
          <t>Mikro Nisi</t>
        </is>
      </c>
      <c r="D124" t="inlineStr">
        <is>
          <t>Mussels</t>
        </is>
      </c>
      <c r="E124" t="inlineStr">
        <is>
          <t>MNSMALL</t>
        </is>
      </c>
      <c r="F124" t="inlineStr">
        <is>
          <t>MNSMALL08</t>
        </is>
      </c>
      <c r="G124" s="6" t="n">
        <v>15</v>
      </c>
      <c r="H124" s="6" t="n">
        <v>9.9</v>
      </c>
      <c r="I124" s="7" t="n">
        <v>6.655466667</v>
      </c>
      <c r="J124" s="7" t="n">
        <v>8.252778666999999</v>
      </c>
      <c r="K124" s="7" t="n">
        <v>1.99664</v>
      </c>
      <c r="L124" s="8">
        <f>SUMIF(Recipe_Components!$A$2:$A$515,A124,Recipe_Components!$F$2:$F$515)</f>
        <v/>
      </c>
      <c r="M124" s="8">
        <f>IF(AND(K124&lt;&gt;"",L124&lt;&gt;""),L124-K124,"")</f>
        <v/>
      </c>
      <c r="N124" s="8">
        <f>IF(AND(G124&lt;&gt;"",H124&lt;&gt;""),G124-H124,"")</f>
        <v/>
      </c>
      <c r="O124" s="9">
        <f>IF(G124&gt;0,1-L124/G124,"")</f>
        <v/>
      </c>
      <c r="P124" s="10" t="n"/>
      <c r="Q124" t="b">
        <v>0</v>
      </c>
      <c r="R124" t="b">
        <v>0</v>
      </c>
      <c r="S124" t="inlineStr">
        <is>
          <t>5.1</t>
        </is>
      </c>
      <c r="T124" t="inlineStr">
        <is>
          <t>0.8349444267</t>
        </is>
      </c>
    </row>
    <row r="125">
      <c r="A125" t="n">
        <v>124</v>
      </c>
      <c r="B125" t="inlineStr">
        <is>
          <t>142</t>
        </is>
      </c>
      <c r="C125" t="inlineStr">
        <is>
          <t>Mikro Nisi</t>
        </is>
      </c>
      <c r="D125" t="inlineStr">
        <is>
          <t>Greek salad with crumbled manouri cheese</t>
        </is>
      </c>
      <c r="E125" t="inlineStr">
        <is>
          <t>MNSMALL</t>
        </is>
      </c>
      <c r="F125" t="inlineStr">
        <is>
          <t>MNSMALL09</t>
        </is>
      </c>
      <c r="G125" s="6" t="n">
        <v>12</v>
      </c>
      <c r="H125" s="6" t="n">
        <v>12.1</v>
      </c>
      <c r="I125" s="7" t="n">
        <v>8.16</v>
      </c>
      <c r="J125" s="7" t="n">
        <v>10.1184</v>
      </c>
      <c r="K125" s="7" t="n">
        <v>2.448</v>
      </c>
      <c r="L125" s="8">
        <f>SUMIF(Recipe_Components!$A$2:$A$515,A125,Recipe_Components!$F$2:$F$515)</f>
        <v/>
      </c>
      <c r="M125" s="8">
        <f>IF(AND(K125&lt;&gt;"",L125&lt;&gt;""),L125-K125,"")</f>
        <v/>
      </c>
      <c r="N125" s="8">
        <f>IF(AND(G125&lt;&gt;"",H125&lt;&gt;""),G125-H125,"")</f>
        <v/>
      </c>
      <c r="O125" s="9">
        <f>IF(G125&gt;0,1-L125/G125,"")</f>
        <v/>
      </c>
      <c r="P125" s="10" t="n"/>
      <c r="Q125" t="b">
        <v>0</v>
      </c>
      <c r="R125" t="b">
        <v>0</v>
      </c>
      <c r="S125" t="inlineStr">
        <is>
          <t>-0.1</t>
        </is>
      </c>
      <c r="T125" t="inlineStr">
        <is>
          <t>0.74704</t>
        </is>
      </c>
    </row>
    <row r="126">
      <c r="A126" t="n">
        <v>125</v>
      </c>
      <c r="B126" t="inlineStr">
        <is>
          <t>143</t>
        </is>
      </c>
      <c r="C126" t="inlineStr">
        <is>
          <t>Mikro Nisi</t>
        </is>
      </c>
      <c r="D126" t="inlineStr">
        <is>
          <t>Courgette carpaccio, radish, feta, basil seed, olive oil</t>
        </is>
      </c>
      <c r="E126" t="inlineStr">
        <is>
          <t>MNSMALL</t>
        </is>
      </c>
      <c r="F126" t="inlineStr">
        <is>
          <t>MNSMALL10</t>
        </is>
      </c>
      <c r="G126" s="6" t="n">
        <v>11</v>
      </c>
      <c r="H126" s="6" t="n">
        <v>5.5</v>
      </c>
      <c r="I126" s="7" t="n">
        <v>3.445133333</v>
      </c>
      <c r="J126" s="7" t="n">
        <v>4.271965333</v>
      </c>
      <c r="K126" s="7" t="n">
        <v>1.03354</v>
      </c>
      <c r="L126" s="8">
        <f>SUMIF(Recipe_Components!$A$2:$A$515,A126,Recipe_Components!$F$2:$F$515)</f>
        <v/>
      </c>
      <c r="M126" s="8">
        <f>IF(AND(K126&lt;&gt;"",L126&lt;&gt;""),L126-K126,"")</f>
        <v/>
      </c>
      <c r="N126" s="8">
        <f>IF(AND(G126&lt;&gt;"",H126&lt;&gt;""),G126-H126,"")</f>
        <v/>
      </c>
      <c r="O126" s="9">
        <f>IF(G126&gt;0,1-L126/G126,"")</f>
        <v/>
      </c>
      <c r="P126" s="10" t="n"/>
      <c r="Q126" t="b">
        <v>0</v>
      </c>
      <c r="R126" t="b">
        <v>0</v>
      </c>
      <c r="S126" t="inlineStr">
        <is>
          <t>5.5</t>
        </is>
      </c>
      <c r="T126" t="inlineStr">
        <is>
          <t>0.8834918545</t>
        </is>
      </c>
    </row>
    <row r="127">
      <c r="A127" t="n">
        <v>126</v>
      </c>
      <c r="B127" t="inlineStr">
        <is>
          <t>144</t>
        </is>
      </c>
      <c r="C127" t="inlineStr">
        <is>
          <t>Mikro Nisi</t>
        </is>
      </c>
      <c r="D127" t="inlineStr">
        <is>
          <t>Steamed Clams in chilli butter</t>
        </is>
      </c>
      <c r="E127" t="inlineStr">
        <is>
          <t>MNSMALL</t>
        </is>
      </c>
      <c r="F127" t="inlineStr">
        <is>
          <t>MNSMALL11</t>
        </is>
      </c>
      <c r="G127" s="6" t="n"/>
      <c r="H127" s="6" t="n">
        <v>0</v>
      </c>
      <c r="I127" s="7" t="n">
        <v>0</v>
      </c>
      <c r="J127" s="7" t="n">
        <v>0</v>
      </c>
      <c r="K127" s="7" t="n">
        <v>0</v>
      </c>
      <c r="L127" s="8">
        <f>SUMIF(Recipe_Components!$A$2:$A$515,A127,Recipe_Components!$F$2:$F$515)</f>
        <v/>
      </c>
      <c r="M127" s="8">
        <f>IF(AND(K127&lt;&gt;"",L127&lt;&gt;""),L127-K127,"")</f>
        <v/>
      </c>
      <c r="N127" s="8">
        <f>IF(AND(G127&lt;&gt;"",H127&lt;&gt;""),G127-H127,"")</f>
        <v/>
      </c>
      <c r="O127" s="9">
        <f>IF(G127&gt;0,1-L127/G127,"")</f>
        <v/>
      </c>
      <c r="P127" s="10" t="n"/>
      <c r="Q127" t="b">
        <v>0</v>
      </c>
      <c r="R127" t="b">
        <v>0</v>
      </c>
      <c r="S127" t="inlineStr">
        <is>
          <t>0</t>
        </is>
      </c>
    </row>
    <row r="128">
      <c r="A128" t="n">
        <v>127</v>
      </c>
      <c r="B128" t="inlineStr">
        <is>
          <t>145</t>
        </is>
      </c>
      <c r="C128" t="inlineStr">
        <is>
          <t>Mikro Nisi</t>
        </is>
      </c>
      <c r="D128" t="inlineStr">
        <is>
          <t>Cured Tuna Salad</t>
        </is>
      </c>
      <c r="E128" t="inlineStr">
        <is>
          <t>MNSMALL</t>
        </is>
      </c>
      <c r="F128" t="inlineStr">
        <is>
          <t>MNSMALL12</t>
        </is>
      </c>
      <c r="G128" s="6" t="n"/>
      <c r="H128" s="6" t="n">
        <v>0</v>
      </c>
      <c r="I128" s="7" t="n">
        <v>0</v>
      </c>
      <c r="J128" s="7" t="n">
        <v>0</v>
      </c>
      <c r="K128" s="7" t="n">
        <v>0</v>
      </c>
      <c r="L128" s="8">
        <f>SUMIF(Recipe_Components!$A$2:$A$515,A128,Recipe_Components!$F$2:$F$515)</f>
        <v/>
      </c>
      <c r="M128" s="8">
        <f>IF(AND(K128&lt;&gt;"",L128&lt;&gt;""),L128-K128,"")</f>
        <v/>
      </c>
      <c r="N128" s="8">
        <f>IF(AND(G128&lt;&gt;"",H128&lt;&gt;""),G128-H128,"")</f>
        <v/>
      </c>
      <c r="O128" s="9">
        <f>IF(G128&gt;0,1-L128/G128,"")</f>
        <v/>
      </c>
      <c r="P128" s="10" t="n"/>
      <c r="Q128" t="b">
        <v>0</v>
      </c>
      <c r="R128" t="b">
        <v>0</v>
      </c>
      <c r="S128" t="inlineStr">
        <is>
          <t>0</t>
        </is>
      </c>
    </row>
    <row r="129">
      <c r="A129" t="n">
        <v>128</v>
      </c>
      <c r="B129" t="inlineStr">
        <is>
          <t>147</t>
        </is>
      </c>
      <c r="C129" t="inlineStr">
        <is>
          <t>Mikro Nisi</t>
        </is>
      </c>
      <c r="D129" t="inlineStr">
        <is>
          <t>Octopus</t>
        </is>
      </c>
      <c r="E129" t="inlineStr">
        <is>
          <t>MNLARGE</t>
        </is>
      </c>
      <c r="F129" t="inlineStr">
        <is>
          <t>MNLARGE01</t>
        </is>
      </c>
      <c r="G129" s="6" t="n">
        <v>18</v>
      </c>
      <c r="H129" s="6" t="n">
        <v>23.1</v>
      </c>
      <c r="I129" s="7" t="n">
        <v>16.41016667</v>
      </c>
      <c r="J129" s="7" t="n">
        <v>20.34860667</v>
      </c>
      <c r="K129" s="7" t="n">
        <v>4.92305</v>
      </c>
      <c r="L129" s="8">
        <f>SUMIF(Recipe_Components!$A$2:$A$515,A129,Recipe_Components!$F$2:$F$515)</f>
        <v/>
      </c>
      <c r="M129" s="8">
        <f>IF(AND(K129&lt;&gt;"",L129&lt;&gt;""),L129-K129,"")</f>
        <v/>
      </c>
      <c r="N129" s="8">
        <f>IF(AND(G129&lt;&gt;"",H129&lt;&gt;""),G129-H129,"")</f>
        <v/>
      </c>
      <c r="O129" s="9">
        <f>IF(G129&gt;0,1-L129/G129,"")</f>
        <v/>
      </c>
      <c r="P129" s="10" t="n"/>
      <c r="Q129" t="b">
        <v>0</v>
      </c>
      <c r="R129" t="b">
        <v>0</v>
      </c>
      <c r="S129" t="inlineStr">
        <is>
          <t>-5.1</t>
        </is>
      </c>
      <c r="T129" t="inlineStr">
        <is>
          <t>0.6608565556</t>
        </is>
      </c>
    </row>
    <row r="130">
      <c r="A130" t="n">
        <v>129</v>
      </c>
      <c r="B130" t="inlineStr">
        <is>
          <t>148</t>
        </is>
      </c>
      <c r="C130" t="inlineStr">
        <is>
          <t>Mikro Nisi</t>
        </is>
      </c>
      <c r="D130" t="inlineStr">
        <is>
          <t>Pork loin, oregano salsa</t>
        </is>
      </c>
      <c r="E130" t="inlineStr">
        <is>
          <t>MNLARGE</t>
        </is>
      </c>
      <c r="F130" t="inlineStr">
        <is>
          <t>MNLARGE02</t>
        </is>
      </c>
      <c r="G130" s="6" t="n">
        <v>23</v>
      </c>
      <c r="H130" s="6" t="n">
        <v>12.1</v>
      </c>
      <c r="I130" s="7" t="n">
        <v>8.295466666999999</v>
      </c>
      <c r="J130" s="7" t="n">
        <v>10.28637867</v>
      </c>
      <c r="K130" s="7" t="n">
        <v>2.48864</v>
      </c>
      <c r="L130" s="8">
        <f>SUMIF(Recipe_Components!$A$2:$A$515,A130,Recipe_Components!$F$2:$F$515)</f>
        <v/>
      </c>
      <c r="M130" s="8">
        <f>IF(AND(K130&lt;&gt;"",L130&lt;&gt;""),L130-K130,"")</f>
        <v/>
      </c>
      <c r="N130" s="8">
        <f>IF(AND(G130&lt;&gt;"",H130&lt;&gt;""),G130-H130,"")</f>
        <v/>
      </c>
      <c r="O130" s="9">
        <f>IF(G130&gt;0,1-L130/G130,"")</f>
        <v/>
      </c>
      <c r="P130" s="10" t="n"/>
      <c r="Q130" t="b">
        <v>0</v>
      </c>
      <c r="R130" t="b">
        <v>0</v>
      </c>
      <c r="S130" t="inlineStr">
        <is>
          <t>10.9</t>
        </is>
      </c>
      <c r="T130" t="inlineStr">
        <is>
          <t>0.8658298435</t>
        </is>
      </c>
    </row>
    <row r="131">
      <c r="A131" t="n">
        <v>130</v>
      </c>
      <c r="B131" t="inlineStr">
        <is>
          <t>149</t>
        </is>
      </c>
      <c r="C131" t="inlineStr">
        <is>
          <t>Mikro Nisi</t>
        </is>
      </c>
      <c r="D131" t="inlineStr">
        <is>
          <t>Mikro Nisi vegetarian moussaka</t>
        </is>
      </c>
      <c r="E131" t="inlineStr">
        <is>
          <t>MNLARGE</t>
        </is>
      </c>
      <c r="F131" t="inlineStr">
        <is>
          <t>MNLARGE03</t>
        </is>
      </c>
      <c r="G131" s="6" t="n">
        <v>18</v>
      </c>
      <c r="H131" s="6" t="n">
        <v>2.2</v>
      </c>
      <c r="I131" s="7" t="n">
        <v>1.534020029</v>
      </c>
      <c r="J131" s="7" t="n">
        <v>1.902184835</v>
      </c>
      <c r="K131" s="7" t="n">
        <v>0.4602060086</v>
      </c>
      <c r="L131" s="8">
        <f>SUMIF(Recipe_Components!$A$2:$A$515,A131,Recipe_Components!$F$2:$F$515)</f>
        <v/>
      </c>
      <c r="M131" s="8">
        <f>IF(AND(K131&lt;&gt;"",L131&lt;&gt;""),L131-K131,"")</f>
        <v/>
      </c>
      <c r="N131" s="8">
        <f>IF(AND(G131&lt;&gt;"",H131&lt;&gt;""),G131-H131,"")</f>
        <v/>
      </c>
      <c r="O131" s="9">
        <f>IF(G131&gt;0,1-L131/G131,"")</f>
        <v/>
      </c>
      <c r="P131" s="10" t="n"/>
      <c r="Q131" t="b">
        <v>0</v>
      </c>
      <c r="R131" t="b">
        <v>0</v>
      </c>
      <c r="S131" t="inlineStr">
        <is>
          <t>15.8</t>
        </is>
      </c>
      <c r="T131" t="inlineStr">
        <is>
          <t>0.9682969194</t>
        </is>
      </c>
    </row>
    <row r="132">
      <c r="A132" t="n">
        <v>131</v>
      </c>
      <c r="B132" t="inlineStr">
        <is>
          <t>150</t>
        </is>
      </c>
      <c r="C132" t="inlineStr">
        <is>
          <t>Mikro Nisi</t>
        </is>
      </c>
      <c r="D132" t="inlineStr">
        <is>
          <t>Grilled swordfish, fries, grilled lemon rocket salad</t>
        </is>
      </c>
      <c r="E132" t="inlineStr">
        <is>
          <t>MNLARGE</t>
        </is>
      </c>
      <c r="F132" t="inlineStr">
        <is>
          <t>MNLARGE04</t>
        </is>
      </c>
      <c r="G132" s="6" t="n"/>
      <c r="H132" s="6" t="n">
        <v>0</v>
      </c>
      <c r="I132" s="7" t="n">
        <v>0</v>
      </c>
      <c r="J132" s="7" t="n">
        <v>0</v>
      </c>
      <c r="K132" s="7" t="n">
        <v>0</v>
      </c>
      <c r="L132" s="8">
        <f>SUMIF(Recipe_Components!$A$2:$A$515,A132,Recipe_Components!$F$2:$F$515)</f>
        <v/>
      </c>
      <c r="M132" s="8">
        <f>IF(AND(K132&lt;&gt;"",L132&lt;&gt;""),L132-K132,"")</f>
        <v/>
      </c>
      <c r="N132" s="8">
        <f>IF(AND(G132&lt;&gt;"",H132&lt;&gt;""),G132-H132,"")</f>
        <v/>
      </c>
      <c r="O132" s="9">
        <f>IF(G132&gt;0,1-L132/G132,"")</f>
        <v/>
      </c>
      <c r="P132" s="10" t="n"/>
      <c r="Q132" t="b">
        <v>0</v>
      </c>
      <c r="R132" t="b">
        <v>0</v>
      </c>
      <c r="S132" t="inlineStr">
        <is>
          <t>0</t>
        </is>
      </c>
    </row>
    <row r="133">
      <c r="A133" t="n">
        <v>132</v>
      </c>
      <c r="B133" t="inlineStr">
        <is>
          <t>151</t>
        </is>
      </c>
      <c r="C133" t="inlineStr">
        <is>
          <t>Mikro Nisi</t>
        </is>
      </c>
      <c r="D133" t="inlineStr">
        <is>
          <t>Greek fish stew, squid, mussels, prawns, pan fried daily fish</t>
        </is>
      </c>
      <c r="E133" t="inlineStr">
        <is>
          <t>MNLARGE</t>
        </is>
      </c>
      <c r="F133" t="inlineStr">
        <is>
          <t>MNLARGE05</t>
        </is>
      </c>
      <c r="G133" s="6" t="n">
        <v>22</v>
      </c>
      <c r="H133" s="6" t="n">
        <v>14.3</v>
      </c>
      <c r="I133" s="7" t="n">
        <v>9.9</v>
      </c>
      <c r="J133" s="7" t="n">
        <v>12.276</v>
      </c>
      <c r="K133" s="7" t="n">
        <v>2.97</v>
      </c>
      <c r="L133" s="8">
        <f>SUMIF(Recipe_Components!$A$2:$A$515,A133,Recipe_Components!$F$2:$F$515)</f>
        <v/>
      </c>
      <c r="M133" s="8">
        <f>IF(AND(K133&lt;&gt;"",L133&lt;&gt;""),L133-K133,"")</f>
        <v/>
      </c>
      <c r="N133" s="8">
        <f>IF(AND(G133&lt;&gt;"",H133&lt;&gt;""),G133-H133,"")</f>
        <v/>
      </c>
      <c r="O133" s="9">
        <f>IF(G133&gt;0,1-L133/G133,"")</f>
        <v/>
      </c>
      <c r="P133" s="10" t="n"/>
      <c r="Q133" t="b">
        <v>0</v>
      </c>
      <c r="R133" t="b">
        <v>0</v>
      </c>
      <c r="S133" t="inlineStr">
        <is>
          <t>7.7</t>
        </is>
      </c>
      <c r="T133" t="inlineStr">
        <is>
          <t>0.8326</t>
        </is>
      </c>
    </row>
    <row r="134">
      <c r="A134" t="n">
        <v>133</v>
      </c>
      <c r="B134" t="inlineStr">
        <is>
          <t>152</t>
        </is>
      </c>
      <c r="C134" t="inlineStr">
        <is>
          <t>Mikro Nisi</t>
        </is>
      </c>
      <c r="D134" t="inlineStr">
        <is>
          <t>Chicken Stifado</t>
        </is>
      </c>
      <c r="E134" t="inlineStr">
        <is>
          <t>MNLARGE</t>
        </is>
      </c>
      <c r="F134" t="inlineStr">
        <is>
          <t>MNLARGE06</t>
        </is>
      </c>
      <c r="G134" s="6" t="n">
        <v>18</v>
      </c>
      <c r="H134" s="6" t="n">
        <v>9.9</v>
      </c>
      <c r="I134" s="7" t="n">
        <v>7.213</v>
      </c>
      <c r="J134" s="7" t="n">
        <v>8.94412</v>
      </c>
      <c r="K134" s="7" t="n">
        <v>2.1639</v>
      </c>
      <c r="L134" s="8">
        <f>SUMIF(Recipe_Components!$A$2:$A$515,A134,Recipe_Components!$F$2:$F$515)</f>
        <v/>
      </c>
      <c r="M134" s="8">
        <f>IF(AND(K134&lt;&gt;"",L134&lt;&gt;""),L134-K134,"")</f>
        <v/>
      </c>
      <c r="N134" s="8">
        <f>IF(AND(G134&lt;&gt;"",H134&lt;&gt;""),G134-H134,"")</f>
        <v/>
      </c>
      <c r="O134" s="9">
        <f>IF(G134&gt;0,1-L134/G134,"")</f>
        <v/>
      </c>
      <c r="P134" s="10" t="n"/>
      <c r="Q134" t="b">
        <v>0</v>
      </c>
      <c r="R134" t="b">
        <v>0</v>
      </c>
      <c r="S134" t="inlineStr">
        <is>
          <t>8.1</t>
        </is>
      </c>
      <c r="T134" t="inlineStr">
        <is>
          <t>0.8509313333</t>
        </is>
      </c>
    </row>
    <row r="135">
      <c r="A135" t="n">
        <v>134</v>
      </c>
      <c r="B135" t="inlineStr">
        <is>
          <t>153</t>
        </is>
      </c>
      <c r="C135" t="inlineStr">
        <is>
          <t>Mikro Nisi</t>
        </is>
      </c>
      <c r="D135" t="inlineStr">
        <is>
          <t>Fried calamari, lemon, spiced aoili</t>
        </is>
      </c>
      <c r="E135" t="inlineStr">
        <is>
          <t>MNLARGE</t>
        </is>
      </c>
      <c r="F135" t="inlineStr">
        <is>
          <t>MNLARGE07</t>
        </is>
      </c>
      <c r="G135" s="6" t="n">
        <v>16</v>
      </c>
      <c r="H135" s="6" t="n">
        <v>12.1</v>
      </c>
      <c r="I135" s="7" t="n">
        <v>8.652133333</v>
      </c>
      <c r="J135" s="7" t="n">
        <v>10.72864533</v>
      </c>
      <c r="K135" s="7" t="n">
        <v>2.59564</v>
      </c>
      <c r="L135" s="8">
        <f>SUMIF(Recipe_Components!$A$2:$A$515,A135,Recipe_Components!$F$2:$F$515)</f>
        <v/>
      </c>
      <c r="M135" s="8">
        <f>IF(AND(K135&lt;&gt;"",L135&lt;&gt;""),L135-K135,"")</f>
        <v/>
      </c>
      <c r="N135" s="8">
        <f>IF(AND(G135&lt;&gt;"",H135&lt;&gt;""),G135-H135,"")</f>
        <v/>
      </c>
      <c r="O135" s="9">
        <f>IF(G135&gt;0,1-L135/G135,"")</f>
        <v/>
      </c>
      <c r="P135" s="10" t="n"/>
      <c r="Q135" t="b">
        <v>0</v>
      </c>
      <c r="R135" t="b">
        <v>0</v>
      </c>
      <c r="S135" t="inlineStr">
        <is>
          <t>3.9</t>
        </is>
      </c>
      <c r="T135" t="inlineStr">
        <is>
          <t>0.7988379</t>
        </is>
      </c>
    </row>
    <row r="136">
      <c r="A136" t="n">
        <v>135</v>
      </c>
      <c r="B136" t="inlineStr">
        <is>
          <t>154</t>
        </is>
      </c>
      <c r="C136" t="inlineStr">
        <is>
          <t>Mikro Nisi</t>
        </is>
      </c>
      <c r="D136" t="inlineStr">
        <is>
          <t>Baked Seabass, wild rice and spinach</t>
        </is>
      </c>
      <c r="E136" t="inlineStr">
        <is>
          <t>MNLARGE</t>
        </is>
      </c>
      <c r="F136" t="inlineStr">
        <is>
          <t>MNLARGE08</t>
        </is>
      </c>
      <c r="G136" s="6" t="n">
        <v>21</v>
      </c>
      <c r="H136" s="6" t="n">
        <v>30.8</v>
      </c>
      <c r="I136" s="7" t="n">
        <v>22.03373333</v>
      </c>
      <c r="J136" s="7" t="n">
        <v>27.32182933</v>
      </c>
      <c r="K136" s="7" t="n">
        <v>6.61012</v>
      </c>
      <c r="L136" s="8">
        <f>SUMIF(Recipe_Components!$A$2:$A$515,A136,Recipe_Components!$F$2:$F$515)</f>
        <v/>
      </c>
      <c r="M136" s="8">
        <f>IF(AND(K136&lt;&gt;"",L136&lt;&gt;""),L136-K136,"")</f>
        <v/>
      </c>
      <c r="N136" s="8">
        <f>IF(AND(G136&lt;&gt;"",H136&lt;&gt;""),G136-H136,"")</f>
        <v/>
      </c>
      <c r="O136" s="9">
        <f>IF(G136&gt;0,1-L136/G136,"")</f>
        <v/>
      </c>
      <c r="P136" s="10" t="n"/>
      <c r="Q136" t="b">
        <v>0</v>
      </c>
      <c r="R136" t="b">
        <v>0</v>
      </c>
      <c r="S136" t="inlineStr">
        <is>
          <t>-9.8</t>
        </is>
      </c>
      <c r="T136" t="inlineStr">
        <is>
          <t>0.6096881524</t>
        </is>
      </c>
    </row>
    <row r="137">
      <c r="A137" t="n">
        <v>136</v>
      </c>
      <c r="B137" t="inlineStr">
        <is>
          <t>155</t>
        </is>
      </c>
      <c r="C137" t="inlineStr">
        <is>
          <t>Mikro Nisi</t>
        </is>
      </c>
      <c r="D137" t="inlineStr">
        <is>
          <t>Cauliflower Steak</t>
        </is>
      </c>
      <c r="E137" t="inlineStr">
        <is>
          <t>MNLARGE</t>
        </is>
      </c>
      <c r="F137" t="inlineStr">
        <is>
          <t>MNLARGE09</t>
        </is>
      </c>
      <c r="G137" s="6" t="n">
        <v>16</v>
      </c>
      <c r="H137" s="6" t="n">
        <v>5.5</v>
      </c>
      <c r="I137" s="7" t="n">
        <v>3.992133333</v>
      </c>
      <c r="J137" s="7" t="n">
        <v>4.950245333</v>
      </c>
      <c r="K137" s="7" t="n">
        <v>1.19764</v>
      </c>
      <c r="L137" s="8">
        <f>SUMIF(Recipe_Components!$A$2:$A$515,A137,Recipe_Components!$F$2:$F$515)</f>
        <v/>
      </c>
      <c r="M137" s="8">
        <f>IF(AND(K137&lt;&gt;"",L137&lt;&gt;""),L137-K137,"")</f>
        <v/>
      </c>
      <c r="N137" s="8">
        <f>IF(AND(G137&lt;&gt;"",H137&lt;&gt;""),G137-H137,"")</f>
        <v/>
      </c>
      <c r="O137" s="9">
        <f>IF(G137&gt;0,1-L137/G137,"")</f>
        <v/>
      </c>
      <c r="P137" s="10" t="n"/>
      <c r="Q137" t="b">
        <v>0</v>
      </c>
      <c r="R137" t="b">
        <v>0</v>
      </c>
      <c r="S137" t="inlineStr">
        <is>
          <t>10.5</t>
        </is>
      </c>
      <c r="T137" t="inlineStr">
        <is>
          <t>0.9071829</t>
        </is>
      </c>
    </row>
    <row r="138">
      <c r="A138" t="n">
        <v>137</v>
      </c>
      <c r="B138" t="inlineStr">
        <is>
          <t>156</t>
        </is>
      </c>
      <c r="C138" t="inlineStr">
        <is>
          <t>Mikro Nisi</t>
        </is>
      </c>
      <c r="D138" t="inlineStr">
        <is>
          <t>Fish of the day</t>
        </is>
      </c>
      <c r="E138" t="inlineStr">
        <is>
          <t>MNLARGE</t>
        </is>
      </c>
      <c r="F138" t="inlineStr">
        <is>
          <t>MNLARGE10</t>
        </is>
      </c>
      <c r="G138" s="6" t="n"/>
      <c r="H138" s="6" t="n">
        <v>0</v>
      </c>
      <c r="I138" s="7" t="n">
        <v>0</v>
      </c>
      <c r="J138" s="7" t="n">
        <v>0</v>
      </c>
      <c r="K138" s="7" t="n">
        <v>0</v>
      </c>
      <c r="L138" s="8">
        <f>SUMIF(Recipe_Components!$A$2:$A$515,A138,Recipe_Components!$F$2:$F$515)</f>
        <v/>
      </c>
      <c r="M138" s="8">
        <f>IF(AND(K138&lt;&gt;"",L138&lt;&gt;""),L138-K138,"")</f>
        <v/>
      </c>
      <c r="N138" s="8">
        <f>IF(AND(G138&lt;&gt;"",H138&lt;&gt;""),G138-H138,"")</f>
        <v/>
      </c>
      <c r="O138" s="9">
        <f>IF(G138&gt;0,1-L138/G138,"")</f>
        <v/>
      </c>
      <c r="P138" s="10" t="n"/>
      <c r="Q138" t="b">
        <v>0</v>
      </c>
      <c r="R138" t="b">
        <v>0</v>
      </c>
      <c r="S138" t="inlineStr">
        <is>
          <t>0</t>
        </is>
      </c>
    </row>
    <row r="139">
      <c r="A139" t="n">
        <v>138</v>
      </c>
      <c r="B139" t="inlineStr">
        <is>
          <t>157</t>
        </is>
      </c>
      <c r="C139" t="inlineStr">
        <is>
          <t>Mikro Nisi</t>
        </is>
      </c>
      <c r="D139" t="inlineStr">
        <is>
          <t>Pork Gyros Special</t>
        </is>
      </c>
      <c r="E139" t="inlineStr"/>
      <c r="F139" t="inlineStr"/>
      <c r="G139" s="6" t="n">
        <v>18</v>
      </c>
      <c r="H139" s="6" t="n">
        <v>9.9</v>
      </c>
      <c r="I139" s="7" t="n">
        <v>6.78722381</v>
      </c>
      <c r="J139" s="7" t="n">
        <v>8.416157524000001</v>
      </c>
      <c r="K139" s="7" t="n">
        <v>2.036167143</v>
      </c>
      <c r="L139" s="8">
        <f>SUMIF(Recipe_Components!$A$2:$A$515,A139,Recipe_Components!$F$2:$F$515)</f>
        <v/>
      </c>
      <c r="M139" s="8">
        <f>IF(AND(K139&lt;&gt;"",L139&lt;&gt;""),L139-K139,"")</f>
        <v/>
      </c>
      <c r="N139" s="8">
        <f>IF(AND(G139&lt;&gt;"",H139&lt;&gt;""),G139-H139,"")</f>
        <v/>
      </c>
      <c r="O139" s="9">
        <f>IF(G139&gt;0,1-L139/G139,"")</f>
        <v/>
      </c>
      <c r="P139" s="10" t="n"/>
      <c r="Q139" t="b">
        <v>1</v>
      </c>
      <c r="R139" t="b">
        <v>0</v>
      </c>
      <c r="S139" t="inlineStr"/>
      <c r="T139" t="inlineStr">
        <is>
          <t>0.8597307079</t>
        </is>
      </c>
    </row>
  </sheetData>
  <conditionalFormatting sqref="M2:M139">
    <cfRule type="cellIs" priority="1" operator="greaterThan" dxfId="0">
      <formula>0.01</formula>
    </cfRule>
  </conditionalFormatting>
  <conditionalFormatting sqref="N2:N139">
    <cfRule type="cellIs" priority="2" operator="lessThan" dxfId="1">
      <formula>0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3" customWidth="1" min="4" max="4"/>
    <col width="11" customWidth="1" min="5" max="5"/>
    <col width="30" customWidth="1" min="6" max="6"/>
    <col width="30" customWidth="1" min="7" max="7"/>
    <col width="30" customWidth="1" min="8" max="8"/>
    <col width="26" customWidth="1" min="9" max="9"/>
    <col width="30" customWidth="1" min="10" max="10"/>
    <col width="30" customWidth="1" min="11" max="11"/>
    <col width="30" customWidth="1" min="12" max="12"/>
    <col width="12" customWidth="1" min="13" max="13"/>
    <col width="14" customWidth="1" min="14" max="14"/>
  </cols>
  <sheetData>
    <row r="1">
      <c r="A1" s="2" t="inlineStr">
        <is>
          <t>menu_id</t>
        </is>
      </c>
      <c r="B1" s="2" t="inlineStr">
        <is>
          <t>menu_name</t>
        </is>
      </c>
      <c r="C1" s="2" t="inlineStr">
        <is>
          <t>restaurant</t>
        </is>
      </c>
      <c r="D1" s="2" t="inlineStr">
        <is>
          <t>guest_count</t>
        </is>
      </c>
      <c r="E1" s="2" t="inlineStr">
        <is>
          <t>target_gp</t>
        </is>
      </c>
      <c r="F1" s="2" t="inlineStr">
        <is>
          <t>dishes_selected</t>
        </is>
      </c>
      <c r="G1" s="2" t="inlineStr">
        <is>
          <t>per_guest_cost</t>
        </is>
      </c>
      <c r="H1" s="2" t="inlineStr">
        <is>
          <t>current_sell_per_guest</t>
        </is>
      </c>
      <c r="I1" s="2" t="inlineStr">
        <is>
          <t>target_sell_per_guest</t>
        </is>
      </c>
      <c r="J1" s="2" t="inlineStr">
        <is>
          <t>total_food_cost</t>
        </is>
      </c>
      <c r="K1" s="2" t="inlineStr">
        <is>
          <t>current_menu_revenue</t>
        </is>
      </c>
      <c r="L1" s="2" t="inlineStr">
        <is>
          <t>target_menu_revenue</t>
        </is>
      </c>
      <c r="M1" s="2" t="inlineStr">
        <is>
          <t>current_gp</t>
        </is>
      </c>
      <c r="N1" s="2" t="inlineStr">
        <is>
          <t>gap_to_target_price</t>
        </is>
      </c>
    </row>
    <row r="2">
      <c r="A2" t="n">
        <v>1</v>
      </c>
      <c r="B2" t="inlineStr">
        <is>
          <t>Tasi Demo Menu</t>
        </is>
      </c>
      <c r="C2" t="inlineStr">
        <is>
          <t>Tasi</t>
        </is>
      </c>
      <c r="D2" s="11" t="n">
        <v>40</v>
      </c>
      <c r="E2" s="11" t="n">
        <v>0.75</v>
      </c>
      <c r="F2">
        <f>COUNTIF(Menu_Lines!$A$2:$A$10,A2)</f>
        <v/>
      </c>
      <c r="G2" s="8">
        <f>SUMIF(Menu_Lines!$A$2:$A$10,A2,Menu_Lines!$G$2:$G$10)</f>
        <v/>
      </c>
      <c r="H2" s="8">
        <f>SUMIF(Menu_Lines!$A$2:$A$10,A2,Menu_Lines!$H$2:$H$10)</f>
        <v/>
      </c>
      <c r="I2" s="8">
        <f>IF(1-E2&gt;0,G2/(1-E2),"")</f>
        <v/>
      </c>
      <c r="J2" s="8">
        <f>IF(AND(D2&lt;&gt;"",G2&lt;&gt;""),D2*G2,"")</f>
        <v/>
      </c>
      <c r="K2" s="8">
        <f>IF(AND(D2&lt;&gt;"",H2&lt;&gt;""),D2*H2,"")</f>
        <v/>
      </c>
      <c r="L2" s="8">
        <f>IF(AND(D2&lt;&gt;"",I2&lt;&gt;""),D2*I2,"")</f>
        <v/>
      </c>
      <c r="M2" s="9">
        <f>IF(H2&gt;0,1-G2/H2,"")</f>
        <v/>
      </c>
      <c r="N2" s="8">
        <f>IF(AND(I2&lt;&gt;"",H2&lt;&gt;""),I2-H2,"")</f>
        <v/>
      </c>
    </row>
    <row r="3">
      <c r="A3" t="n">
        <v>2</v>
      </c>
      <c r="B3" t="inlineStr">
        <is>
          <t>Terraces Demo Menu</t>
        </is>
      </c>
      <c r="C3" t="inlineStr">
        <is>
          <t>Terraces</t>
        </is>
      </c>
      <c r="D3" s="11" t="n">
        <v>50</v>
      </c>
      <c r="E3" s="11" t="n">
        <v>0.75</v>
      </c>
      <c r="F3">
        <f>COUNTIF(Menu_Lines!$A$2:$A$10,A3)</f>
        <v/>
      </c>
      <c r="G3" s="8">
        <f>SUMIF(Menu_Lines!$A$2:$A$10,A3,Menu_Lines!$G$2:$G$10)</f>
        <v/>
      </c>
      <c r="H3" s="8">
        <f>SUMIF(Menu_Lines!$A$2:$A$10,A3,Menu_Lines!$H$2:$H$10)</f>
        <v/>
      </c>
      <c r="I3" s="8">
        <f>IF(1-E3&gt;0,G3/(1-E3),"")</f>
        <v/>
      </c>
      <c r="J3" s="8">
        <f>IF(AND(D3&lt;&gt;"",G3&lt;&gt;""),D3*G3,"")</f>
        <v/>
      </c>
      <c r="K3" s="8">
        <f>IF(AND(D3&lt;&gt;"",H3&lt;&gt;""),D3*H3,"")</f>
        <v/>
      </c>
      <c r="L3" s="8">
        <f>IF(AND(D3&lt;&gt;"",I3&lt;&gt;""),D3*I3,"")</f>
        <v/>
      </c>
      <c r="M3" s="9">
        <f>IF(H3&gt;0,1-G3/H3,"")</f>
        <v/>
      </c>
      <c r="N3" s="8">
        <f>IF(AND(I3&lt;&gt;"",H3&lt;&gt;""),I3-H3,"")</f>
        <v/>
      </c>
    </row>
    <row r="4">
      <c r="A4" t="n">
        <v>3</v>
      </c>
      <c r="B4" t="inlineStr">
        <is>
          <t>Mikro Nisi Demo Menu</t>
        </is>
      </c>
      <c r="C4" t="inlineStr">
        <is>
          <t>Mikro Nisi</t>
        </is>
      </c>
      <c r="D4" s="11" t="n">
        <v>60</v>
      </c>
      <c r="E4" s="11" t="n">
        <v>0.75</v>
      </c>
      <c r="F4">
        <f>COUNTIF(Menu_Lines!$A$2:$A$10,A4)</f>
        <v/>
      </c>
      <c r="G4" s="8">
        <f>SUMIF(Menu_Lines!$A$2:$A$10,A4,Menu_Lines!$G$2:$G$10)</f>
        <v/>
      </c>
      <c r="H4" s="8">
        <f>SUMIF(Menu_Lines!$A$2:$A$10,A4,Menu_Lines!$H$2:$H$10)</f>
        <v/>
      </c>
      <c r="I4" s="8">
        <f>IF(1-E4&gt;0,G4/(1-E4),"")</f>
        <v/>
      </c>
      <c r="J4" s="8">
        <f>IF(AND(D4&lt;&gt;"",G4&lt;&gt;""),D4*G4,"")</f>
        <v/>
      </c>
      <c r="K4" s="8">
        <f>IF(AND(D4&lt;&gt;"",H4&lt;&gt;""),D4*H4,"")</f>
        <v/>
      </c>
      <c r="L4" s="8">
        <f>IF(AND(D4&lt;&gt;"",I4&lt;&gt;""),D4*I4,"")</f>
        <v/>
      </c>
      <c r="M4" s="9">
        <f>IF(H4&gt;0,1-G4/H4,"")</f>
        <v/>
      </c>
      <c r="N4" s="8">
        <f>IF(AND(I4&lt;&gt;"",H4&lt;&gt;""),I4-H4,"")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1" customWidth="1" min="4" max="4"/>
    <col width="12" customWidth="1" min="5" max="5"/>
    <col width="30" customWidth="1" min="6" max="6"/>
    <col width="14" customWidth="1" min="7" max="7"/>
    <col width="17" customWidth="1" min="8" max="8"/>
    <col width="13" customWidth="1" min="9" max="9"/>
  </cols>
  <sheetData>
    <row r="1">
      <c r="A1" s="2" t="inlineStr">
        <is>
          <t>menu_id</t>
        </is>
      </c>
      <c r="B1" s="2" t="inlineStr">
        <is>
          <t>line_sort</t>
        </is>
      </c>
      <c r="C1" s="2" t="inlineStr">
        <is>
          <t>course_label</t>
        </is>
      </c>
      <c r="D1" s="2" t="inlineStr">
        <is>
          <t>recipe_id</t>
        </is>
      </c>
      <c r="E1" s="2" t="inlineStr">
        <is>
          <t>restaurant</t>
        </is>
      </c>
      <c r="F1" s="2" t="inlineStr">
        <is>
          <t>dish_name</t>
        </is>
      </c>
      <c r="G1" s="2" t="inlineStr">
        <is>
          <t>line_cost</t>
        </is>
      </c>
      <c r="H1" s="2" t="inlineStr">
        <is>
          <t>line_sale_price</t>
        </is>
      </c>
      <c r="I1" s="2" t="inlineStr">
        <is>
          <t>category</t>
        </is>
      </c>
    </row>
    <row r="2">
      <c r="A2" t="n">
        <v>1</v>
      </c>
      <c r="B2" t="n">
        <v>1</v>
      </c>
      <c r="C2" t="inlineStr">
        <is>
          <t>Starter</t>
        </is>
      </c>
      <c r="D2" t="n">
        <v>30</v>
      </c>
      <c r="E2" t="inlineStr">
        <is>
          <t>Tasi</t>
        </is>
      </c>
      <c r="F2" t="inlineStr">
        <is>
          <t>Greek Salad</t>
        </is>
      </c>
      <c r="G2" s="8" t="n">
        <v>1.5447</v>
      </c>
      <c r="H2" s="8" t="n">
        <v>14</v>
      </c>
      <c r="I2" t="inlineStr">
        <is>
          <t>TASALAD</t>
        </is>
      </c>
    </row>
    <row r="3">
      <c r="A3" t="n">
        <v>1</v>
      </c>
      <c r="B3" t="n">
        <v>2</v>
      </c>
      <c r="C3" t="inlineStr">
        <is>
          <t>Main</t>
        </is>
      </c>
      <c r="D3" t="n">
        <v>7</v>
      </c>
      <c r="E3" t="inlineStr">
        <is>
          <t>Tasi</t>
        </is>
      </c>
      <c r="F3" t="inlineStr">
        <is>
          <t>Spinach and sea green linguine</t>
        </is>
      </c>
      <c r="G3" s="8" t="n">
        <v>3.6484</v>
      </c>
      <c r="H3" s="8" t="n">
        <v>16</v>
      </c>
      <c r="I3" t="inlineStr">
        <is>
          <t>TAMAIN</t>
        </is>
      </c>
    </row>
    <row r="4">
      <c r="A4" t="n">
        <v>1</v>
      </c>
      <c r="B4" t="n">
        <v>3</v>
      </c>
      <c r="C4" t="inlineStr">
        <is>
          <t>Dessert</t>
        </is>
      </c>
      <c r="D4" t="n">
        <v>62</v>
      </c>
      <c r="E4" t="inlineStr">
        <is>
          <t>Tasi</t>
        </is>
      </c>
      <c r="F4" t="inlineStr">
        <is>
          <t>Lemon Posset</t>
        </is>
      </c>
      <c r="G4" s="8" t="n">
        <v>0.7204375</v>
      </c>
      <c r="H4" s="8" t="n">
        <v>7</v>
      </c>
      <c r="I4" t="inlineStr">
        <is>
          <t>TADESSERT</t>
        </is>
      </c>
    </row>
    <row r="5">
      <c r="A5" t="n">
        <v>2</v>
      </c>
      <c r="B5" t="n">
        <v>1</v>
      </c>
      <c r="C5" t="inlineStr">
        <is>
          <t>Dip</t>
        </is>
      </c>
      <c r="D5" t="n">
        <v>68</v>
      </c>
      <c r="E5" t="inlineStr">
        <is>
          <t>Terraces</t>
        </is>
      </c>
      <c r="F5" t="inlineStr">
        <is>
          <t>Muhammara</t>
        </is>
      </c>
      <c r="G5" s="8" t="n">
        <v>1.2085846</v>
      </c>
      <c r="H5" s="8" t="n">
        <v>7</v>
      </c>
      <c r="I5" t="inlineStr">
        <is>
          <t>TERDIP</t>
        </is>
      </c>
    </row>
    <row r="6">
      <c r="A6" t="n">
        <v>2</v>
      </c>
      <c r="B6" t="n">
        <v>2</v>
      </c>
      <c r="C6" t="inlineStr">
        <is>
          <t>Main</t>
        </is>
      </c>
      <c r="D6" t="n">
        <v>84</v>
      </c>
      <c r="E6" t="inlineStr">
        <is>
          <t>Terraces</t>
        </is>
      </c>
      <c r="F6" t="inlineStr">
        <is>
          <t>Firecooked Chicken</t>
        </is>
      </c>
      <c r="G6" s="8" t="n">
        <v>1.39</v>
      </c>
      <c r="H6" s="8" t="n">
        <v>18</v>
      </c>
      <c r="I6" t="inlineStr">
        <is>
          <t>TERRMAIN</t>
        </is>
      </c>
    </row>
    <row r="7">
      <c r="A7" t="n">
        <v>2</v>
      </c>
      <c r="B7" t="n">
        <v>3</v>
      </c>
      <c r="C7" t="inlineStr">
        <is>
          <t>Dessert</t>
        </is>
      </c>
      <c r="D7" t="n">
        <v>111</v>
      </c>
      <c r="E7" t="inlineStr">
        <is>
          <t>Terraces</t>
        </is>
      </c>
      <c r="F7" t="inlineStr">
        <is>
          <t>Lemon Posset</t>
        </is>
      </c>
      <c r="G7" s="8" t="n">
        <v>0.7204375</v>
      </c>
      <c r="H7" s="8" t="n">
        <v>7</v>
      </c>
      <c r="I7" t="inlineStr">
        <is>
          <t>TERRDESSERT</t>
        </is>
      </c>
    </row>
    <row r="8">
      <c r="A8" t="n">
        <v>3</v>
      </c>
      <c r="B8" t="n">
        <v>1</v>
      </c>
      <c r="C8" t="inlineStr">
        <is>
          <t>Small Plate</t>
        </is>
      </c>
      <c r="D8" t="n">
        <v>116</v>
      </c>
      <c r="E8" t="inlineStr">
        <is>
          <t>Mikro Nisi</t>
        </is>
      </c>
      <c r="F8" t="inlineStr">
        <is>
          <t>Bread and Dips</t>
        </is>
      </c>
      <c r="G8" s="8" t="n">
        <v>0.8727307904</v>
      </c>
      <c r="H8" s="8" t="n">
        <v>12</v>
      </c>
      <c r="I8" t="inlineStr">
        <is>
          <t>MNSMALL</t>
        </is>
      </c>
    </row>
    <row r="9">
      <c r="A9" t="n">
        <v>3</v>
      </c>
      <c r="B9" t="n">
        <v>2</v>
      </c>
      <c r="C9" t="inlineStr">
        <is>
          <t>Large Plate</t>
        </is>
      </c>
      <c r="D9" t="n">
        <v>128</v>
      </c>
      <c r="E9" t="inlineStr">
        <is>
          <t>Mikro Nisi</t>
        </is>
      </c>
      <c r="F9" t="inlineStr">
        <is>
          <t>Octopus</t>
        </is>
      </c>
      <c r="G9" s="8" t="n">
        <v>4.92305</v>
      </c>
      <c r="H9" s="8" t="n">
        <v>18</v>
      </c>
      <c r="I9" t="inlineStr">
        <is>
          <t>MNLARGE</t>
        </is>
      </c>
    </row>
    <row r="10">
      <c r="A10" t="n">
        <v>3</v>
      </c>
      <c r="B10" t="n">
        <v>3</v>
      </c>
      <c r="C10" t="inlineStr">
        <is>
          <t>Small Plate 2</t>
        </is>
      </c>
      <c r="D10" t="n">
        <v>124</v>
      </c>
      <c r="E10" t="inlineStr">
        <is>
          <t>Mikro Nisi</t>
        </is>
      </c>
      <c r="F10" t="inlineStr">
        <is>
          <t>Greek salad with crumbled manouri cheese</t>
        </is>
      </c>
      <c r="G10" s="8" t="n">
        <v>2.4529</v>
      </c>
      <c r="H10" s="8" t="n">
        <v>12</v>
      </c>
      <c r="I10" t="inlineStr">
        <is>
          <t>MNSMALL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2" t="inlineStr">
        <is>
          <t>restaurant</t>
        </is>
      </c>
      <c r="B1" s="2" t="inlineStr">
        <is>
          <t>recipe_count</t>
        </is>
      </c>
      <c r="C1" s="2" t="inlineStr">
        <is>
          <t>avg_gp_calc</t>
        </is>
      </c>
      <c r="D1" s="2" t="inlineStr">
        <is>
          <t>avg_current_sale_price</t>
        </is>
      </c>
      <c r="E1" s="2" t="inlineStr">
        <is>
          <t>avg_component_cost</t>
        </is>
      </c>
      <c r="F1" s="2" t="inlineStr">
        <is>
          <t>recipes_missing_price</t>
        </is>
      </c>
      <c r="G1" s="2" t="inlineStr">
        <is>
          <t>recipes_negative_variance</t>
        </is>
      </c>
    </row>
    <row r="2">
      <c r="A2" t="inlineStr">
        <is>
          <t>Mikro Nisi</t>
        </is>
      </c>
      <c r="B2">
        <f>COUNTIF(Recipes!$C$2:$C$139,A2)</f>
        <v/>
      </c>
      <c r="C2" s="9">
        <f>AVERAGEIF(Recipes!$C$2:$C$139,A2,Recipes!$O$2:$O$139)</f>
        <v/>
      </c>
      <c r="D2" s="8">
        <f>AVERAGEIF(Recipes!$C$2:$C$139,A2,Recipes!$G$2:$G$139)</f>
        <v/>
      </c>
      <c r="E2" s="8">
        <f>AVERAGEIF(Recipes!$C$2:$C$139,A2,Recipes!$L$2:$L$139)</f>
        <v/>
      </c>
      <c r="F2">
        <f>COUNTIFS(Recipes!$C$2:$C$139,A2,Recipes!$G$2:$G$139,"")</f>
        <v/>
      </c>
      <c r="G2">
        <f>COUNTIFS(Recipes!$C$2:$C$139,A2,Recipes!$N$2:$N$139,"&lt;0")</f>
        <v/>
      </c>
    </row>
    <row r="3">
      <c r="A3" t="inlineStr">
        <is>
          <t>Tasi</t>
        </is>
      </c>
      <c r="B3">
        <f>COUNTIF(Recipes!$C$2:$C$139,A3)</f>
        <v/>
      </c>
      <c r="C3" s="9">
        <f>AVERAGEIF(Recipes!$C$2:$C$139,A3,Recipes!$O$2:$O$139)</f>
        <v/>
      </c>
      <c r="D3" s="8">
        <f>AVERAGEIF(Recipes!$C$2:$C$139,A3,Recipes!$G$2:$G$139)</f>
        <v/>
      </c>
      <c r="E3" s="8">
        <f>AVERAGEIF(Recipes!$C$2:$C$139,A3,Recipes!$L$2:$L$139)</f>
        <v/>
      </c>
      <c r="F3">
        <f>COUNTIFS(Recipes!$C$2:$C$139,A3,Recipes!$G$2:$G$139,"")</f>
        <v/>
      </c>
      <c r="G3">
        <f>COUNTIFS(Recipes!$C$2:$C$139,A3,Recipes!$N$2:$N$139,"&lt;0")</f>
        <v/>
      </c>
    </row>
    <row r="4">
      <c r="A4" t="inlineStr">
        <is>
          <t>Terraces</t>
        </is>
      </c>
      <c r="B4">
        <f>COUNTIF(Recipes!$C$2:$C$139,A4)</f>
        <v/>
      </c>
      <c r="C4" s="9">
        <f>AVERAGEIF(Recipes!$C$2:$C$139,A4,Recipes!$O$2:$O$139)</f>
        <v/>
      </c>
      <c r="D4" s="8">
        <f>AVERAGEIF(Recipes!$C$2:$C$139,A4,Recipes!$G$2:$G$139)</f>
        <v/>
      </c>
      <c r="E4" s="8">
        <f>AVERAGEIF(Recipes!$C$2:$C$139,A4,Recipes!$L$2:$L$139)</f>
        <v/>
      </c>
      <c r="F4">
        <f>COUNTIFS(Recipes!$C$2:$C$139,A4,Recipes!$G$2:$G$139,"")</f>
        <v/>
      </c>
      <c r="G4">
        <f>COUNTIFS(Recipes!$C$2:$C$139,A4,Recipes!$N$2:$N$139,"&lt;0")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2026-03-23T17:45:56Z</dcterms:created>
  <dcterms:modified xmlns:dcterms="http://purl.org/dc/terms/" xmlns:xsi="http://www.w3.org/2001/XMLSchema-instance" xsi:type="dcterms:W3CDTF">2026-03-23T17:45:56Z</dcterms:modified>
</cp:coreProperties>
</file>